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5892" firstSheet="2" activeTab="3"/>
  </bookViews>
  <sheets>
    <sheet name="Sheet1" sheetId="1" r:id="rId1"/>
    <sheet name="ciscoswitch" sheetId="2" r:id="rId2"/>
    <sheet name="HWAR" sheetId="3" r:id="rId3"/>
    <sheet name="Sheet5" sheetId="15" r:id="rId4"/>
    <sheet name="hwce57" sheetId="4" r:id="rId5"/>
    <sheet name="hwfw" sheetId="5" r:id="rId6"/>
    <sheet name="hwce" sheetId="6" r:id="rId7"/>
    <sheet name="hwfm" sheetId="7" r:id="rId8"/>
    <sheet name="h3cfw" sheetId="8" r:id="rId9"/>
    <sheet name="tap" sheetId="9" r:id="rId10"/>
    <sheet name="Sheet2" sheetId="12" r:id="rId11"/>
    <sheet name="Sheet4" sheetId="14" r:id="rId12"/>
    <sheet name="Sheet3" sheetId="13" r:id="rId13"/>
  </sheets>
  <calcPr calcId="152511"/>
</workbook>
</file>

<file path=xl/calcChain.xml><?xml version="1.0" encoding="utf-8"?>
<calcChain xmlns="http://schemas.openxmlformats.org/spreadsheetml/2006/main">
  <c r="E10" i="2" l="1"/>
  <c r="E12" i="2" l="1"/>
</calcChain>
</file>

<file path=xl/sharedStrings.xml><?xml version="1.0" encoding="utf-8"?>
<sst xmlns="http://schemas.openxmlformats.org/spreadsheetml/2006/main" count="1411" uniqueCount="705">
  <si>
    <t>shversion</t>
  </si>
  <si>
    <t>shclock</t>
  </si>
  <si>
    <t>shntp</t>
  </si>
  <si>
    <t>shenv</t>
  </si>
  <si>
    <t>shcpu</t>
  </si>
  <si>
    <t>shmem</t>
  </si>
  <si>
    <t>shflash</t>
  </si>
  <si>
    <t>shintsta</t>
  </si>
  <si>
    <t>shipintsta</t>
  </si>
  <si>
    <t>sherror</t>
  </si>
  <si>
    <t>shcrc</t>
  </si>
  <si>
    <t>shiproute</t>
  </si>
  <si>
    <t>shiproutesum</t>
  </si>
  <si>
    <t>showospfsum</t>
  </si>
  <si>
    <t>shinttrans</t>
  </si>
  <si>
    <t>shrun</t>
  </si>
  <si>
    <t>cisco</t>
    <phoneticPr fontId="1" type="noConversion"/>
  </si>
  <si>
    <t>disver_ar</t>
  </si>
  <si>
    <t>disclock</t>
  </si>
  <si>
    <t>disntp</t>
  </si>
  <si>
    <t>disdir_ar</t>
  </si>
  <si>
    <t>disdev_ar</t>
  </si>
  <si>
    <t>dispic_ar</t>
  </si>
  <si>
    <t>disenv_ar</t>
  </si>
  <si>
    <t>disfan_ar</t>
  </si>
  <si>
    <t>discpu_ar</t>
  </si>
  <si>
    <t>dismem_ar</t>
  </si>
  <si>
    <t>disospfnei_ar</t>
  </si>
  <si>
    <t>disalarm</t>
  </si>
  <si>
    <t>disintbrief</t>
  </si>
  <si>
    <t>disipintbrief</t>
  </si>
  <si>
    <t>dislldp_ar</t>
  </si>
  <si>
    <t>disospferror</t>
  </si>
  <si>
    <t>disospfrouting</t>
  </si>
  <si>
    <t>disospflsdb</t>
  </si>
  <si>
    <t>disiprouting</t>
  </si>
  <si>
    <t>disroutesstatis</t>
  </si>
  <si>
    <t>disinterror</t>
  </si>
  <si>
    <t>discrc</t>
  </si>
  <si>
    <t>disintwarn</t>
  </si>
  <si>
    <t>discur</t>
  </si>
  <si>
    <t>hwar</t>
    <phoneticPr fontId="1" type="noConversion"/>
  </si>
  <si>
    <t>hwfw</t>
    <phoneticPr fontId="1" type="noConversion"/>
  </si>
  <si>
    <t>disver_fw</t>
  </si>
  <si>
    <t>disdir_fw</t>
  </si>
  <si>
    <t>disdev_fw_ce_fm</t>
  </si>
  <si>
    <t>disenv_fw</t>
  </si>
  <si>
    <t>disfan_fw_ce_fm</t>
  </si>
  <si>
    <t>dispower_fw_ce_fm</t>
  </si>
  <si>
    <t>discpu_fw</t>
  </si>
  <si>
    <t>dismem_fw</t>
  </si>
  <si>
    <t>dishrp</t>
  </si>
  <si>
    <t>disethtr_fw</t>
  </si>
  <si>
    <t>dislldp_fw_ce</t>
  </si>
  <si>
    <t>disfiresess</t>
  </si>
  <si>
    <t>distrans</t>
  </si>
  <si>
    <t>disver_ce</t>
  </si>
  <si>
    <t>disdir_ce</t>
  </si>
  <si>
    <t>disenv_ce</t>
  </si>
  <si>
    <t>discpu_ce_fm</t>
  </si>
  <si>
    <t>dismem</t>
  </si>
  <si>
    <t>dispatch_hwce</t>
  </si>
  <si>
    <t>disethtr_ce</t>
  </si>
  <si>
    <t>dismlag</t>
  </si>
  <si>
    <t>dismlaghear</t>
  </si>
  <si>
    <t>disiprouting_ce_fm</t>
  </si>
  <si>
    <t>disstp</t>
  </si>
  <si>
    <t>hwce</t>
    <phoneticPr fontId="1" type="noConversion"/>
  </si>
  <si>
    <t>hwfm</t>
    <phoneticPr fontId="1" type="noConversion"/>
  </si>
  <si>
    <t>disver_fm</t>
  </si>
  <si>
    <t>disdir_fm</t>
  </si>
  <si>
    <t>disenv_fm</t>
  </si>
  <si>
    <t>disethtr_fm</t>
  </si>
  <si>
    <t>dismlag_fm</t>
  </si>
  <si>
    <t>dispatch_hwfm</t>
  </si>
  <si>
    <t>disarp</t>
  </si>
  <si>
    <t>dismac</t>
  </si>
  <si>
    <t>hwce57</t>
    <phoneticPr fontId="1" type="noConversion"/>
  </si>
  <si>
    <t>disver_ce57</t>
  </si>
  <si>
    <t>disdir_ce57</t>
  </si>
  <si>
    <t>disenv_ce57</t>
  </si>
  <si>
    <t>dispatch_hwce57</t>
  </si>
  <si>
    <t>disethtr_ce57</t>
  </si>
  <si>
    <t>disdev_ce57</t>
  </si>
  <si>
    <t>disfan_ce57</t>
  </si>
  <si>
    <t>dispower_ce57</t>
  </si>
  <si>
    <t>dismem_ce57</t>
  </si>
  <si>
    <t>discpu_ce57</t>
  </si>
  <si>
    <t>dislldp_ce57</t>
  </si>
  <si>
    <t>distrans_ce57</t>
    <phoneticPr fontId="1" type="noConversion"/>
  </si>
  <si>
    <t>tap</t>
    <phoneticPr fontId="1" type="noConversion"/>
  </si>
  <si>
    <t>disethtr_ar，eth</t>
    <phoneticPr fontId="1" type="noConversion"/>
  </si>
  <si>
    <t>shmroute，zb</t>
    <phoneticPr fontId="1" type="noConversion"/>
  </si>
  <si>
    <t>shpoch_cs，port_up</t>
    <phoneticPr fontId="1" type="noConversion"/>
  </si>
  <si>
    <t>shlldp_cs,lldp_nei</t>
    <phoneticPr fontId="1" type="noConversion"/>
  </si>
  <si>
    <t>shospfnei_cs,ospf_nei</t>
    <phoneticPr fontId="1" type="noConversion"/>
  </si>
  <si>
    <t>shpimnei_cspim_nei</t>
    <phoneticPr fontId="1" type="noConversion"/>
  </si>
  <si>
    <t>dispatch_hwar,patch</t>
    <phoneticPr fontId="1" type="noConversion"/>
  </si>
  <si>
    <t>shlldp_jr</t>
  </si>
  <si>
    <t>shospfnei_jr</t>
  </si>
  <si>
    <t>shpoch_jr</t>
  </si>
  <si>
    <t>shpimnei_jr</t>
  </si>
  <si>
    <t>shhsrp</t>
  </si>
  <si>
    <t>sharp</t>
  </si>
  <si>
    <t>shmac</t>
  </si>
  <si>
    <t>shmroute</t>
  </si>
  <si>
    <t>zb</t>
    <phoneticPr fontId="1" type="noConversion"/>
  </si>
  <si>
    <t>show running-config</t>
  </si>
  <si>
    <t>show version</t>
  </si>
  <si>
    <t>show ntp peer-status</t>
  </si>
  <si>
    <t>show clock</t>
  </si>
  <si>
    <t>show environment</t>
  </si>
  <si>
    <t>show processes cpu</t>
  </si>
  <si>
    <t>show processes memory shared detail</t>
  </si>
  <si>
    <t>dir</t>
  </si>
  <si>
    <t>show interface status</t>
  </si>
  <si>
    <t>show int</t>
  </si>
  <si>
    <t>show ip interface brief</t>
  </si>
  <si>
    <t>show interface counters brief</t>
  </si>
  <si>
    <t>show interface | include errors</t>
  </si>
  <si>
    <t>show port-channel database</t>
  </si>
  <si>
    <t>show ip route</t>
  </si>
  <si>
    <t>show ip ospf neighbor</t>
  </si>
  <si>
    <t>show ip ospf route summary</t>
  </si>
  <si>
    <t>show ip pim neighbor</t>
  </si>
  <si>
    <t>show ip mroute</t>
  </si>
  <si>
    <t>show lldp neighbors</t>
  </si>
  <si>
    <t>show interface transceiver details</t>
  </si>
  <si>
    <t>show logging</t>
  </si>
  <si>
    <t>display current-configuration</t>
  </si>
  <si>
    <t>display ntp status</t>
  </si>
  <si>
    <t>display clock</t>
  </si>
  <si>
    <t>display version</t>
  </si>
  <si>
    <t>display patch-information</t>
  </si>
  <si>
    <t>display device</t>
  </si>
  <si>
    <t>display device temperature</t>
  </si>
  <si>
    <t>display device fan</t>
  </si>
  <si>
    <t>display device power</t>
  </si>
  <si>
    <t>display cpu-usage</t>
  </si>
  <si>
    <t>display memory</t>
  </si>
  <si>
    <t>display alarm active</t>
  </si>
  <si>
    <t>display hrp state</t>
  </si>
  <si>
    <t>display eth-trunk brief</t>
  </si>
  <si>
    <t>display interface brief</t>
  </si>
  <si>
    <t>display interface</t>
  </si>
  <si>
    <t>display ip interface brief</t>
  </si>
  <si>
    <t>display ip routing-table</t>
  </si>
  <si>
    <t>display ip routing-table all-routes statistics</t>
  </si>
  <si>
    <t>display lldp neighbor brief</t>
  </si>
  <si>
    <t>display firewall session statistics all-systems</t>
  </si>
  <si>
    <t>display interface transceiver verbose</t>
  </si>
  <si>
    <t>display logbuffer</t>
  </si>
  <si>
    <t>display trapbuffer</t>
  </si>
  <si>
    <t>巡检命令</t>
    <phoneticPr fontId="1" type="noConversion"/>
  </si>
  <si>
    <t>函数</t>
    <phoneticPr fontId="1" type="noConversion"/>
  </si>
  <si>
    <t>数据库列名</t>
    <phoneticPr fontId="1" type="noConversion"/>
  </si>
  <si>
    <t>version</t>
    <phoneticPr fontId="1" type="noConversion"/>
  </si>
  <si>
    <t>show_ntp</t>
    <phoneticPr fontId="1" type="noConversion"/>
  </si>
  <si>
    <t>memory</t>
    <phoneticPr fontId="1" type="noConversion"/>
  </si>
  <si>
    <t>lldp</t>
    <phoneticPr fontId="1" type="noConversion"/>
  </si>
  <si>
    <t>mroute</t>
    <phoneticPr fontId="1" type="noConversion"/>
  </si>
  <si>
    <t>show int&amp;show interface transceiver details</t>
    <phoneticPr fontId="1" type="noConversion"/>
  </si>
  <si>
    <t>t</t>
    <phoneticPr fontId="1" type="noConversion"/>
  </si>
  <si>
    <t>对比</t>
    <phoneticPr fontId="1" type="noConversion"/>
  </si>
  <si>
    <t>对比</t>
    <phoneticPr fontId="1" type="noConversion"/>
  </si>
  <si>
    <t>show ip mroute</t>
    <phoneticPr fontId="1" type="noConversion"/>
  </si>
  <si>
    <t>port_channel</t>
    <phoneticPr fontId="1" type="noConversion"/>
  </si>
  <si>
    <t>route_sum</t>
    <phoneticPr fontId="1" type="noConversion"/>
  </si>
  <si>
    <t>show_run</t>
    <phoneticPr fontId="1" type="noConversion"/>
  </si>
  <si>
    <t>bfd</t>
    <phoneticPr fontId="1" type="noConversion"/>
  </si>
  <si>
    <t>dev_time</t>
    <phoneticPr fontId="1" type="noConversion"/>
  </si>
  <si>
    <t>cpu</t>
    <phoneticPr fontId="1" type="noConversion"/>
  </si>
  <si>
    <t>ospf_route</t>
    <phoneticPr fontId="1" type="noConversion"/>
  </si>
  <si>
    <t>pim</t>
    <phoneticPr fontId="1" type="noConversion"/>
  </si>
  <si>
    <t>interface</t>
    <phoneticPr fontId="1" type="noConversion"/>
  </si>
  <si>
    <t>route</t>
    <phoneticPr fontId="1" type="noConversion"/>
  </si>
  <si>
    <t>logging</t>
    <phoneticPr fontId="1" type="noConversion"/>
  </si>
  <si>
    <t>show environment</t>
    <phoneticPr fontId="1" type="noConversion"/>
  </si>
  <si>
    <t>environment</t>
    <phoneticPr fontId="1" type="noConversion"/>
  </si>
  <si>
    <t>dir</t>
    <phoneticPr fontId="1" type="noConversion"/>
  </si>
  <si>
    <t>ospf</t>
    <phoneticPr fontId="1" type="noConversion"/>
  </si>
  <si>
    <t>show ntp peer-status</t>
    <phoneticPr fontId="1" type="noConversion"/>
  </si>
  <si>
    <t>show version</t>
    <phoneticPr fontId="1" type="noConversion"/>
  </si>
  <si>
    <t>show running-config</t>
    <phoneticPr fontId="1" type="noConversion"/>
  </si>
  <si>
    <t>show processes cpu</t>
    <phoneticPr fontId="1" type="noConversion"/>
  </si>
  <si>
    <t>show processes memory shared detail</t>
    <phoneticPr fontId="1" type="noConversion"/>
  </si>
  <si>
    <t>dir</t>
    <phoneticPr fontId="1" type="noConversion"/>
  </si>
  <si>
    <t>show ip route</t>
    <phoneticPr fontId="1" type="noConversion"/>
  </si>
  <si>
    <t>show ip ospf neighbor</t>
    <phoneticPr fontId="1" type="noConversion"/>
  </si>
  <si>
    <t>show ip pim neighbor</t>
    <phoneticPr fontId="1" type="noConversion"/>
  </si>
  <si>
    <t>show lldp neighbors</t>
    <phoneticPr fontId="1" type="noConversion"/>
  </si>
  <si>
    <t>show clock</t>
    <phoneticPr fontId="1" type="noConversion"/>
  </si>
  <si>
    <t>show port-channel database</t>
    <phoneticPr fontId="1" type="noConversion"/>
  </si>
  <si>
    <t>show logging</t>
    <phoneticPr fontId="1" type="noConversion"/>
  </si>
  <si>
    <t>show bfd session</t>
    <phoneticPr fontId="1" type="noConversion"/>
  </si>
  <si>
    <t>disethtr_ar</t>
  </si>
  <si>
    <t>dislog</t>
  </si>
  <si>
    <t>dispatch_hwar</t>
    <phoneticPr fontId="1" type="noConversion"/>
  </si>
  <si>
    <t>对比基线</t>
    <phoneticPr fontId="1" type="noConversion"/>
  </si>
  <si>
    <t>判断</t>
  </si>
  <si>
    <t>对比基线</t>
    <phoneticPr fontId="1" type="noConversion"/>
  </si>
  <si>
    <t>对比基线</t>
    <phoneticPr fontId="1" type="noConversion"/>
  </si>
  <si>
    <t>对比基线</t>
    <phoneticPr fontId="1" type="noConversion"/>
  </si>
  <si>
    <t>判断-自己写</t>
    <phoneticPr fontId="1" type="noConversion"/>
  </si>
  <si>
    <t>收发光-自己写</t>
    <phoneticPr fontId="1" type="noConversion"/>
  </si>
  <si>
    <t>对比基线</t>
    <phoneticPr fontId="1" type="noConversion"/>
  </si>
  <si>
    <t>函数名</t>
    <phoneticPr fontId="1" type="noConversion"/>
  </si>
  <si>
    <t>巡检方式</t>
    <phoneticPr fontId="1" type="noConversion"/>
  </si>
  <si>
    <t>display version</t>
    <phoneticPr fontId="1" type="noConversion"/>
  </si>
  <si>
    <t>display clock</t>
    <phoneticPr fontId="1" type="noConversion"/>
  </si>
  <si>
    <t>display temperature</t>
    <phoneticPr fontId="1" type="noConversion"/>
  </si>
  <si>
    <t>display device pic-status</t>
    <phoneticPr fontId="1" type="noConversion"/>
  </si>
  <si>
    <t>display fan</t>
    <phoneticPr fontId="1" type="noConversion"/>
  </si>
  <si>
    <t>display eth-trunk brief</t>
    <phoneticPr fontId="1" type="noConversion"/>
  </si>
  <si>
    <t>display ospf peer brief</t>
    <phoneticPr fontId="1" type="noConversion"/>
  </si>
  <si>
    <t>display interface brief</t>
    <phoneticPr fontId="1" type="noConversion"/>
  </si>
  <si>
    <t>display ip interface brief</t>
    <phoneticPr fontId="1" type="noConversion"/>
  </si>
  <si>
    <t>display lldp neighbor brief</t>
    <phoneticPr fontId="1" type="noConversion"/>
  </si>
  <si>
    <t>display ospf error</t>
    <phoneticPr fontId="1" type="noConversion"/>
  </si>
  <si>
    <t>display ospf routing</t>
    <phoneticPr fontId="1" type="noConversion"/>
  </si>
  <si>
    <t>display ospf lsdb brief</t>
    <phoneticPr fontId="1" type="noConversion"/>
  </si>
  <si>
    <t>display ip routing-table all-routes statistics</t>
    <phoneticPr fontId="1" type="noConversion"/>
  </si>
  <si>
    <t>display interface | inc error</t>
    <phoneticPr fontId="1" type="noConversion"/>
  </si>
  <si>
    <t>display interface | i CRC</t>
    <phoneticPr fontId="1" type="noConversion"/>
  </si>
  <si>
    <t>display interface | include GigabitEthernet |Warning range</t>
    <phoneticPr fontId="1" type="noConversion"/>
  </si>
  <si>
    <t>display current</t>
    <phoneticPr fontId="1" type="noConversion"/>
  </si>
  <si>
    <t>display logbuffer</t>
    <phoneticPr fontId="1" type="noConversion"/>
  </si>
  <si>
    <t>show ip route summary</t>
    <phoneticPr fontId="1" type="noConversion"/>
  </si>
  <si>
    <t>disroutesstatis</t>
    <phoneticPr fontId="1" type="noConversion"/>
  </si>
  <si>
    <t>display alarm</t>
    <phoneticPr fontId="1" type="noConversion"/>
  </si>
  <si>
    <t>数据库名</t>
    <phoneticPr fontId="1" type="noConversion"/>
  </si>
  <si>
    <t>dis_ver</t>
    <phoneticPr fontId="1" type="noConversion"/>
  </si>
  <si>
    <t>dir_ar</t>
    <phoneticPr fontId="1" type="noConversion"/>
  </si>
  <si>
    <t>dis_device</t>
    <phoneticPr fontId="1" type="noConversion"/>
  </si>
  <si>
    <t>dis_pic</t>
    <phoneticPr fontId="1" type="noConversion"/>
  </si>
  <si>
    <t>dis_env</t>
    <phoneticPr fontId="1" type="noConversion"/>
  </si>
  <si>
    <t>dis_fan</t>
    <phoneticPr fontId="1" type="noConversion"/>
  </si>
  <si>
    <t>dis_cpu</t>
    <phoneticPr fontId="1" type="noConversion"/>
  </si>
  <si>
    <t>dis_memory</t>
    <phoneticPr fontId="1" type="noConversion"/>
  </si>
  <si>
    <t>dis_ospf</t>
    <phoneticPr fontId="1" type="noConversion"/>
  </si>
  <si>
    <t>dis_eth</t>
    <phoneticPr fontId="1" type="noConversion"/>
  </si>
  <si>
    <t>dis_patch</t>
    <phoneticPr fontId="1" type="noConversion"/>
  </si>
  <si>
    <t>dis_lldp</t>
    <phoneticPr fontId="1" type="noConversion"/>
  </si>
  <si>
    <t>dis_ospf_error</t>
    <phoneticPr fontId="1" type="noConversion"/>
  </si>
  <si>
    <t>dis_ospf_routing</t>
    <phoneticPr fontId="1" type="noConversion"/>
  </si>
  <si>
    <t>dis_intwarn</t>
    <phoneticPr fontId="1" type="noConversion"/>
  </si>
  <si>
    <t>disintbrief</t>
    <phoneticPr fontId="1" type="noConversion"/>
  </si>
  <si>
    <t>display ip routing-table</t>
    <phoneticPr fontId="1" type="noConversion"/>
  </si>
  <si>
    <t>disver_ar</t>
    <phoneticPr fontId="1" type="noConversion"/>
  </si>
  <si>
    <t>discur</t>
    <phoneticPr fontId="1" type="noConversion"/>
  </si>
  <si>
    <t>disalarm</t>
    <phoneticPr fontId="1" type="noConversion"/>
  </si>
  <si>
    <t>disipintbrief</t>
    <phoneticPr fontId="1" type="noConversion"/>
  </si>
  <si>
    <t>dislldp_ar</t>
    <phoneticPr fontId="1" type="noConversion"/>
  </si>
  <si>
    <t>dis_ospf_lsdb</t>
    <phoneticPr fontId="1" type="noConversion"/>
  </si>
  <si>
    <t>中文名</t>
    <phoneticPr fontId="1" type="noConversion"/>
  </si>
  <si>
    <t>设备名</t>
    <phoneticPr fontId="1" type="noConversion"/>
  </si>
  <si>
    <t>设备时间</t>
    <phoneticPr fontId="1" type="noConversion"/>
  </si>
  <si>
    <t>ntp状态</t>
    <phoneticPr fontId="1" type="noConversion"/>
  </si>
  <si>
    <t>flash</t>
    <phoneticPr fontId="1" type="noConversion"/>
  </si>
  <si>
    <t>硬件状态</t>
    <phoneticPr fontId="1" type="noConversion"/>
  </si>
  <si>
    <t>板卡状态</t>
    <phoneticPr fontId="1" type="noConversion"/>
  </si>
  <si>
    <t>温度</t>
    <phoneticPr fontId="1" type="noConversion"/>
  </si>
  <si>
    <t>风扇</t>
    <phoneticPr fontId="1" type="noConversion"/>
  </si>
  <si>
    <t>cpu</t>
    <phoneticPr fontId="1" type="noConversion"/>
  </si>
  <si>
    <t>内存</t>
    <phoneticPr fontId="1" type="noConversion"/>
  </si>
  <si>
    <t>ospf</t>
    <phoneticPr fontId="1" type="noConversion"/>
  </si>
  <si>
    <t>eth</t>
    <phoneticPr fontId="1" type="noConversion"/>
  </si>
  <si>
    <t>补丁</t>
    <phoneticPr fontId="1" type="noConversion"/>
  </si>
  <si>
    <t>函数名</t>
    <phoneticPr fontId="1" type="noConversion"/>
  </si>
  <si>
    <t>巡检命令</t>
    <phoneticPr fontId="1" type="noConversion"/>
  </si>
  <si>
    <t>数据库名</t>
    <phoneticPr fontId="1" type="noConversion"/>
  </si>
  <si>
    <t>display current-configuration</t>
    <phoneticPr fontId="1" type="noConversion"/>
  </si>
  <si>
    <t>display version</t>
    <phoneticPr fontId="1" type="noConversion"/>
  </si>
  <si>
    <t>display clock</t>
    <phoneticPr fontId="1" type="noConversion"/>
  </si>
  <si>
    <t>disntp</t>
    <phoneticPr fontId="1" type="noConversion"/>
  </si>
  <si>
    <t>display ntp status</t>
    <phoneticPr fontId="1" type="noConversion"/>
  </si>
  <si>
    <t>disdir_ce57</t>
    <phoneticPr fontId="1" type="noConversion"/>
  </si>
  <si>
    <t>display device</t>
    <phoneticPr fontId="1" type="noConversion"/>
  </si>
  <si>
    <t>display temperature all</t>
    <phoneticPr fontId="1" type="noConversion"/>
  </si>
  <si>
    <t>display memory-usage</t>
    <phoneticPr fontId="1" type="noConversion"/>
  </si>
  <si>
    <t>discpu_ce57</t>
    <phoneticPr fontId="1" type="noConversion"/>
  </si>
  <si>
    <t>display cpu-usage</t>
    <phoneticPr fontId="1" type="noConversion"/>
  </si>
  <si>
    <t>display eth-trunk</t>
    <phoneticPr fontId="1" type="noConversion"/>
  </si>
  <si>
    <t>disalarm</t>
    <phoneticPr fontId="1" type="noConversion"/>
  </si>
  <si>
    <t>display alarm</t>
    <phoneticPr fontId="1" type="noConversion"/>
  </si>
  <si>
    <t>display patch-information</t>
    <phoneticPr fontId="1" type="noConversion"/>
  </si>
  <si>
    <t>display interface brief</t>
    <phoneticPr fontId="1" type="noConversion"/>
  </si>
  <si>
    <t>display ip interface brief</t>
    <phoneticPr fontId="1" type="noConversion"/>
  </si>
  <si>
    <t>display lldp neighbor brief</t>
    <phoneticPr fontId="1" type="noConversion"/>
  </si>
  <si>
    <t>disiprouting</t>
    <phoneticPr fontId="1" type="noConversion"/>
  </si>
  <si>
    <t>disinterror</t>
    <phoneticPr fontId="1" type="noConversion"/>
  </si>
  <si>
    <t>display interface | inc error</t>
    <phoneticPr fontId="1" type="noConversion"/>
  </si>
  <si>
    <t>discrc</t>
    <phoneticPr fontId="1" type="noConversion"/>
  </si>
  <si>
    <t>display interface | i CRC</t>
    <phoneticPr fontId="1" type="noConversion"/>
  </si>
  <si>
    <t>display transceiver verbose</t>
    <phoneticPr fontId="1" type="noConversion"/>
  </si>
  <si>
    <t>dislog</t>
    <phoneticPr fontId="1" type="noConversion"/>
  </si>
  <si>
    <t>cur</t>
    <phoneticPr fontId="1" type="noConversion"/>
  </si>
  <si>
    <t>ver</t>
    <phoneticPr fontId="1" type="noConversion"/>
  </si>
  <si>
    <t>clock</t>
    <phoneticPr fontId="1" type="noConversion"/>
  </si>
  <si>
    <t>ntp</t>
    <phoneticPr fontId="1" type="noConversion"/>
  </si>
  <si>
    <t>dir</t>
    <phoneticPr fontId="1" type="noConversion"/>
  </si>
  <si>
    <t>dev</t>
    <phoneticPr fontId="1" type="noConversion"/>
  </si>
  <si>
    <t>tem</t>
    <phoneticPr fontId="1" type="noConversion"/>
  </si>
  <si>
    <t>fan</t>
    <phoneticPr fontId="1" type="noConversion"/>
  </si>
  <si>
    <t>power</t>
    <phoneticPr fontId="1" type="noConversion"/>
  </si>
  <si>
    <t>display power</t>
    <phoneticPr fontId="1" type="noConversion"/>
  </si>
  <si>
    <t>mem</t>
    <phoneticPr fontId="1" type="noConversion"/>
  </si>
  <si>
    <t>cpu</t>
    <phoneticPr fontId="1" type="noConversion"/>
  </si>
  <si>
    <t>eth</t>
    <phoneticPr fontId="1" type="noConversion"/>
  </si>
  <si>
    <t>alarm</t>
    <phoneticPr fontId="1" type="noConversion"/>
  </si>
  <si>
    <t>patch</t>
    <phoneticPr fontId="1" type="noConversion"/>
  </si>
  <si>
    <t>ip_int</t>
    <phoneticPr fontId="1" type="noConversion"/>
  </si>
  <si>
    <t>lldp</t>
    <phoneticPr fontId="1" type="noConversion"/>
  </si>
  <si>
    <t>error</t>
    <phoneticPr fontId="1" type="noConversion"/>
  </si>
  <si>
    <t>crc</t>
    <phoneticPr fontId="1" type="noConversion"/>
  </si>
  <si>
    <t>trans</t>
    <phoneticPr fontId="1" type="noConversion"/>
  </si>
  <si>
    <t>log</t>
    <phoneticPr fontId="1" type="noConversion"/>
  </si>
  <si>
    <t>disinterror</t>
    <phoneticPr fontId="1" type="noConversion"/>
  </si>
  <si>
    <t>display interface | i CRC</t>
    <phoneticPr fontId="1" type="noConversion"/>
  </si>
  <si>
    <t>dislog</t>
    <phoneticPr fontId="1" type="noConversion"/>
  </si>
  <si>
    <t>display logbuffer</t>
    <phoneticPr fontId="1" type="noConversion"/>
  </si>
  <si>
    <t>命令</t>
    <phoneticPr fontId="1" type="noConversion"/>
  </si>
  <si>
    <t>数据库名</t>
    <phoneticPr fontId="1" type="noConversion"/>
  </si>
  <si>
    <t>ver</t>
    <phoneticPr fontId="1" type="noConversion"/>
  </si>
  <si>
    <t>ntp</t>
    <phoneticPr fontId="1" type="noConversion"/>
  </si>
  <si>
    <t>dir</t>
    <phoneticPr fontId="1" type="noConversion"/>
  </si>
  <si>
    <t>tem</t>
    <phoneticPr fontId="1" type="noConversion"/>
  </si>
  <si>
    <t>fan</t>
    <phoneticPr fontId="1" type="noConversion"/>
  </si>
  <si>
    <t>power</t>
    <phoneticPr fontId="1" type="noConversion"/>
  </si>
  <si>
    <t>mem</t>
    <phoneticPr fontId="1" type="noConversion"/>
  </si>
  <si>
    <t>hrp</t>
    <phoneticPr fontId="1" type="noConversion"/>
  </si>
  <si>
    <t>ip_int</t>
    <phoneticPr fontId="1" type="noConversion"/>
  </si>
  <si>
    <t>lldp</t>
    <phoneticPr fontId="1" type="noConversion"/>
  </si>
  <si>
    <t>route</t>
    <phoneticPr fontId="1" type="noConversion"/>
  </si>
  <si>
    <t>route_all</t>
    <phoneticPr fontId="1" type="noConversion"/>
  </si>
  <si>
    <t>error</t>
    <phoneticPr fontId="1" type="noConversion"/>
  </si>
  <si>
    <t>crc</t>
    <phoneticPr fontId="1" type="noConversion"/>
  </si>
  <si>
    <t>firesess</t>
    <phoneticPr fontId="1" type="noConversion"/>
  </si>
  <si>
    <t>trans</t>
    <phoneticPr fontId="1" type="noConversion"/>
  </si>
  <si>
    <t>cur</t>
    <phoneticPr fontId="1" type="noConversion"/>
  </si>
  <si>
    <t>log</t>
    <phoneticPr fontId="1" type="noConversion"/>
  </si>
  <si>
    <t>函数名</t>
    <phoneticPr fontId="1" type="noConversion"/>
  </si>
  <si>
    <t>命令</t>
    <phoneticPr fontId="1" type="noConversion"/>
  </si>
  <si>
    <t>disver_ce</t>
    <phoneticPr fontId="1" type="noConversion"/>
  </si>
  <si>
    <t>disclock</t>
    <phoneticPr fontId="1" type="noConversion"/>
  </si>
  <si>
    <t>display clock</t>
    <phoneticPr fontId="1" type="noConversion"/>
  </si>
  <si>
    <t>display ntp status</t>
    <phoneticPr fontId="1" type="noConversion"/>
  </si>
  <si>
    <t>display device</t>
    <phoneticPr fontId="1" type="noConversion"/>
  </si>
  <si>
    <t>disenv_ce</t>
    <phoneticPr fontId="1" type="noConversion"/>
  </si>
  <si>
    <t>display device temperature all</t>
    <phoneticPr fontId="1" type="noConversion"/>
  </si>
  <si>
    <t>display device fan</t>
    <phoneticPr fontId="1" type="noConversion"/>
  </si>
  <si>
    <t>dispower_fw_ce_fm</t>
    <phoneticPr fontId="1" type="noConversion"/>
  </si>
  <si>
    <t>display device power</t>
    <phoneticPr fontId="1" type="noConversion"/>
  </si>
  <si>
    <t>display cpu</t>
    <phoneticPr fontId="1" type="noConversion"/>
  </si>
  <si>
    <t>display memory</t>
    <phoneticPr fontId="1" type="noConversion"/>
  </si>
  <si>
    <t>dispatch_hwce</t>
    <phoneticPr fontId="1" type="noConversion"/>
  </si>
  <si>
    <t>display patch-information</t>
    <phoneticPr fontId="1" type="noConversion"/>
  </si>
  <si>
    <t>disethtr_ce</t>
    <phoneticPr fontId="1" type="noConversion"/>
  </si>
  <si>
    <t>display eth-trunk brief</t>
    <phoneticPr fontId="1" type="noConversion"/>
  </si>
  <si>
    <t>dismlag</t>
    <phoneticPr fontId="1" type="noConversion"/>
  </si>
  <si>
    <t>display dfs-group 1 m-lag brief</t>
    <phoneticPr fontId="1" type="noConversion"/>
  </si>
  <si>
    <t>dismlaghear</t>
    <phoneticPr fontId="1" type="noConversion"/>
  </si>
  <si>
    <t>display dfs-group 1 heartbeat</t>
    <phoneticPr fontId="1" type="noConversion"/>
  </si>
  <si>
    <t>disintbrief</t>
    <phoneticPr fontId="1" type="noConversion"/>
  </si>
  <si>
    <t>display interface brief</t>
    <phoneticPr fontId="1" type="noConversion"/>
  </si>
  <si>
    <t>disipintbrief</t>
    <phoneticPr fontId="1" type="noConversion"/>
  </si>
  <si>
    <t>display lldp neighbor brief</t>
    <phoneticPr fontId="1" type="noConversion"/>
  </si>
  <si>
    <t>display ip routing-table all-vpn-instance</t>
    <phoneticPr fontId="1" type="noConversion"/>
  </si>
  <si>
    <t>display interface | inc error</t>
    <phoneticPr fontId="1" type="noConversion"/>
  </si>
  <si>
    <t>display interface | i CRC</t>
    <phoneticPr fontId="1" type="noConversion"/>
  </si>
  <si>
    <t>disstp</t>
    <phoneticPr fontId="1" type="noConversion"/>
  </si>
  <si>
    <t>display stp brief</t>
    <phoneticPr fontId="1" type="noConversion"/>
  </si>
  <si>
    <t>distrans</t>
    <phoneticPr fontId="1" type="noConversion"/>
  </si>
  <si>
    <t>display transceiver verbose</t>
    <phoneticPr fontId="1" type="noConversion"/>
  </si>
  <si>
    <t>display current</t>
    <phoneticPr fontId="1" type="noConversion"/>
  </si>
  <si>
    <t>ver</t>
    <phoneticPr fontId="1" type="noConversion"/>
  </si>
  <si>
    <t>fan</t>
    <phoneticPr fontId="1" type="noConversion"/>
  </si>
  <si>
    <t>power</t>
    <phoneticPr fontId="1" type="noConversion"/>
  </si>
  <si>
    <t>mem</t>
    <phoneticPr fontId="1" type="noConversion"/>
  </si>
  <si>
    <t>eth</t>
    <phoneticPr fontId="1" type="noConversion"/>
  </si>
  <si>
    <t>mlag</t>
    <phoneticPr fontId="1" type="noConversion"/>
  </si>
  <si>
    <t>mlag_heart</t>
    <phoneticPr fontId="1" type="noConversion"/>
  </si>
  <si>
    <t>alarm</t>
    <phoneticPr fontId="1" type="noConversion"/>
  </si>
  <si>
    <t>ip_int</t>
    <phoneticPr fontId="1" type="noConversion"/>
  </si>
  <si>
    <t>lldp_nei</t>
    <phoneticPr fontId="1" type="noConversion"/>
  </si>
  <si>
    <t>route_all</t>
    <phoneticPr fontId="1" type="noConversion"/>
  </si>
  <si>
    <t>route_vpn</t>
    <phoneticPr fontId="1" type="noConversion"/>
  </si>
  <si>
    <t>err</t>
    <phoneticPr fontId="1" type="noConversion"/>
  </si>
  <si>
    <t>crc</t>
    <phoneticPr fontId="1" type="noConversion"/>
  </si>
  <si>
    <t>stp</t>
    <phoneticPr fontId="1" type="noConversion"/>
  </si>
  <si>
    <t>trans</t>
    <phoneticPr fontId="1" type="noConversion"/>
  </si>
  <si>
    <t>cur</t>
    <phoneticPr fontId="1" type="noConversion"/>
  </si>
  <si>
    <t>log</t>
    <phoneticPr fontId="1" type="noConversion"/>
  </si>
  <si>
    <t>函数名</t>
    <phoneticPr fontId="1" type="noConversion"/>
  </si>
  <si>
    <t>disver_fm</t>
    <phoneticPr fontId="1" type="noConversion"/>
  </si>
  <si>
    <t>disclock</t>
    <phoneticPr fontId="1" type="noConversion"/>
  </si>
  <si>
    <t>display clock</t>
    <phoneticPr fontId="1" type="noConversion"/>
  </si>
  <si>
    <t>disntp</t>
    <phoneticPr fontId="1" type="noConversion"/>
  </si>
  <si>
    <t>display ntp status</t>
    <phoneticPr fontId="1" type="noConversion"/>
  </si>
  <si>
    <t>disdir_fm</t>
    <phoneticPr fontId="1" type="noConversion"/>
  </si>
  <si>
    <t>display device</t>
    <phoneticPr fontId="1" type="noConversion"/>
  </si>
  <si>
    <t>disenv_fm</t>
    <phoneticPr fontId="1" type="noConversion"/>
  </si>
  <si>
    <t>disfan_fw_ce_fm</t>
    <phoneticPr fontId="1" type="noConversion"/>
  </si>
  <si>
    <t>display device fan</t>
    <phoneticPr fontId="1" type="noConversion"/>
  </si>
  <si>
    <t>display cpu</t>
    <phoneticPr fontId="1" type="noConversion"/>
  </si>
  <si>
    <t>dismem</t>
    <phoneticPr fontId="1" type="noConversion"/>
  </si>
  <si>
    <t>display memory</t>
    <phoneticPr fontId="1" type="noConversion"/>
  </si>
  <si>
    <t>dismlag_fm</t>
    <phoneticPr fontId="1" type="noConversion"/>
  </si>
  <si>
    <t>display dfs-group 1 heartbeat</t>
    <phoneticPr fontId="1" type="noConversion"/>
  </si>
  <si>
    <t>display patch-information</t>
    <phoneticPr fontId="1" type="noConversion"/>
  </si>
  <si>
    <t>disipintbrief</t>
    <phoneticPr fontId="1" type="noConversion"/>
  </si>
  <si>
    <t>display lldp neighbor brief</t>
    <phoneticPr fontId="1" type="noConversion"/>
  </si>
  <si>
    <t>display ip routing-table all-vpn-instance</t>
    <phoneticPr fontId="1" type="noConversion"/>
  </si>
  <si>
    <t>disroutesstatis</t>
    <phoneticPr fontId="1" type="noConversion"/>
  </si>
  <si>
    <t>display ip routing-table all-routes statistics</t>
    <phoneticPr fontId="1" type="noConversion"/>
  </si>
  <si>
    <t>disarp</t>
    <phoneticPr fontId="1" type="noConversion"/>
  </si>
  <si>
    <t>display arp</t>
    <phoneticPr fontId="1" type="noConversion"/>
  </si>
  <si>
    <t>dismac</t>
    <phoneticPr fontId="1" type="noConversion"/>
  </si>
  <si>
    <t>display mac-address</t>
    <phoneticPr fontId="1" type="noConversion"/>
  </si>
  <si>
    <t>disstp</t>
    <phoneticPr fontId="1" type="noConversion"/>
  </si>
  <si>
    <t>disinterror</t>
    <phoneticPr fontId="1" type="noConversion"/>
  </si>
  <si>
    <t>discrc</t>
    <phoneticPr fontId="1" type="noConversion"/>
  </si>
  <si>
    <t>distrans</t>
    <phoneticPr fontId="1" type="noConversion"/>
  </si>
  <si>
    <t>discur</t>
    <phoneticPr fontId="1" type="noConversion"/>
  </si>
  <si>
    <t>dislog</t>
    <phoneticPr fontId="1" type="noConversion"/>
  </si>
  <si>
    <t>display logbuffer</t>
    <phoneticPr fontId="1" type="noConversion"/>
  </si>
  <si>
    <t>ver</t>
    <phoneticPr fontId="1" type="noConversion"/>
  </si>
  <si>
    <t>clock</t>
    <phoneticPr fontId="1" type="noConversion"/>
  </si>
  <si>
    <t>dir</t>
    <phoneticPr fontId="1" type="noConversion"/>
  </si>
  <si>
    <t>dev</t>
    <phoneticPr fontId="1" type="noConversion"/>
  </si>
  <si>
    <t>cpu</t>
    <phoneticPr fontId="1" type="noConversion"/>
  </si>
  <si>
    <t>mem</t>
    <phoneticPr fontId="1" type="noConversion"/>
  </si>
  <si>
    <t>arp</t>
    <phoneticPr fontId="1" type="noConversion"/>
  </si>
  <si>
    <t>mac</t>
    <phoneticPr fontId="1" type="noConversion"/>
  </si>
  <si>
    <t>dev</t>
    <phoneticPr fontId="1" type="noConversion"/>
  </si>
  <si>
    <t>配置</t>
    <phoneticPr fontId="1" type="noConversion"/>
  </si>
  <si>
    <t>运行时间</t>
    <phoneticPr fontId="1" type="noConversion"/>
  </si>
  <si>
    <t>当前时间</t>
    <phoneticPr fontId="1" type="noConversion"/>
  </si>
  <si>
    <t>ntp</t>
    <phoneticPr fontId="1" type="noConversion"/>
  </si>
  <si>
    <t>flash</t>
    <phoneticPr fontId="1" type="noConversion"/>
  </si>
  <si>
    <t>硬件状态</t>
    <phoneticPr fontId="1" type="noConversion"/>
  </si>
  <si>
    <t>温度</t>
    <phoneticPr fontId="1" type="noConversion"/>
  </si>
  <si>
    <t>风扇</t>
    <phoneticPr fontId="1" type="noConversion"/>
  </si>
  <si>
    <t>电源</t>
    <phoneticPr fontId="1" type="noConversion"/>
  </si>
  <si>
    <t>内存</t>
    <phoneticPr fontId="1" type="noConversion"/>
  </si>
  <si>
    <t>cpu</t>
    <phoneticPr fontId="1" type="noConversion"/>
  </si>
  <si>
    <t>聚合口</t>
    <phoneticPr fontId="1" type="noConversion"/>
  </si>
  <si>
    <t>告警</t>
    <phoneticPr fontId="1" type="noConversion"/>
  </si>
  <si>
    <t>版本</t>
    <phoneticPr fontId="1" type="noConversion"/>
  </si>
  <si>
    <t>接口</t>
    <phoneticPr fontId="1" type="noConversion"/>
  </si>
  <si>
    <t>接口ip</t>
    <phoneticPr fontId="1" type="noConversion"/>
  </si>
  <si>
    <t>lldp</t>
    <phoneticPr fontId="1" type="noConversion"/>
  </si>
  <si>
    <t>route</t>
    <phoneticPr fontId="1" type="noConversion"/>
  </si>
  <si>
    <t>err</t>
    <phoneticPr fontId="1" type="noConversion"/>
  </si>
  <si>
    <t>crc</t>
    <phoneticPr fontId="1" type="noConversion"/>
  </si>
  <si>
    <t>收发光</t>
    <phoneticPr fontId="1" type="noConversion"/>
  </si>
  <si>
    <t>日志</t>
    <phoneticPr fontId="1" type="noConversion"/>
  </si>
  <si>
    <t>ntp</t>
    <phoneticPr fontId="1" type="noConversion"/>
  </si>
  <si>
    <t>当前时间</t>
    <phoneticPr fontId="1" type="noConversion"/>
  </si>
  <si>
    <t>flash</t>
    <phoneticPr fontId="1" type="noConversion"/>
  </si>
  <si>
    <t>硬件状态</t>
    <phoneticPr fontId="1" type="noConversion"/>
  </si>
  <si>
    <t>风扇</t>
    <phoneticPr fontId="1" type="noConversion"/>
  </si>
  <si>
    <t>电源</t>
    <phoneticPr fontId="1" type="noConversion"/>
  </si>
  <si>
    <t>内存</t>
    <phoneticPr fontId="1" type="noConversion"/>
  </si>
  <si>
    <t>hrp</t>
    <phoneticPr fontId="1" type="noConversion"/>
  </si>
  <si>
    <t>告警</t>
    <phoneticPr fontId="1" type="noConversion"/>
  </si>
  <si>
    <t>接口</t>
    <phoneticPr fontId="1" type="noConversion"/>
  </si>
  <si>
    <t>eth</t>
    <phoneticPr fontId="1" type="noConversion"/>
  </si>
  <si>
    <t>lldp</t>
    <phoneticPr fontId="1" type="noConversion"/>
  </si>
  <si>
    <t>会话数</t>
    <phoneticPr fontId="1" type="noConversion"/>
  </si>
  <si>
    <t>运行时间</t>
    <phoneticPr fontId="1" type="noConversion"/>
  </si>
  <si>
    <t>当前时间</t>
    <phoneticPr fontId="1" type="noConversion"/>
  </si>
  <si>
    <t>温度</t>
    <phoneticPr fontId="1" type="noConversion"/>
  </si>
  <si>
    <t>电源</t>
    <phoneticPr fontId="1" type="noConversion"/>
  </si>
  <si>
    <t>cpu</t>
    <phoneticPr fontId="1" type="noConversion"/>
  </si>
  <si>
    <t>mem</t>
    <phoneticPr fontId="1" type="noConversion"/>
  </si>
  <si>
    <t>运行时间</t>
    <phoneticPr fontId="1" type="noConversion"/>
  </si>
  <si>
    <t>flash</t>
    <phoneticPr fontId="1" type="noConversion"/>
  </si>
  <si>
    <t>硬件状态</t>
    <phoneticPr fontId="1" type="noConversion"/>
  </si>
  <si>
    <t>风扇</t>
    <phoneticPr fontId="1" type="noConversion"/>
  </si>
  <si>
    <t>电源</t>
    <phoneticPr fontId="1" type="noConversion"/>
  </si>
  <si>
    <t>disclock</t>
    <phoneticPr fontId="1" type="noConversion"/>
  </si>
  <si>
    <t>disenv_ce57</t>
    <phoneticPr fontId="1" type="noConversion"/>
  </si>
  <si>
    <t>disfan_ce57</t>
    <phoneticPr fontId="1" type="noConversion"/>
  </si>
  <si>
    <t>dispower_ce57</t>
    <phoneticPr fontId="1" type="noConversion"/>
  </si>
  <si>
    <t>dismem_ce57</t>
    <phoneticPr fontId="1" type="noConversion"/>
  </si>
  <si>
    <t>clock</t>
    <phoneticPr fontId="1" type="noConversion"/>
  </si>
  <si>
    <t>interface</t>
    <phoneticPr fontId="1" type="noConversion"/>
  </si>
  <si>
    <t>ip_int</t>
    <phoneticPr fontId="1" type="noConversion"/>
  </si>
  <si>
    <t>disospferror</t>
    <phoneticPr fontId="1" type="noConversion"/>
  </si>
  <si>
    <t>disospfrouting</t>
    <phoneticPr fontId="1" type="noConversion"/>
  </si>
  <si>
    <t>disospflsdb</t>
    <phoneticPr fontId="1" type="noConversion"/>
  </si>
  <si>
    <t>err</t>
    <phoneticPr fontId="1" type="noConversion"/>
  </si>
  <si>
    <t>ntp</t>
    <phoneticPr fontId="1" type="noConversion"/>
  </si>
  <si>
    <t>route</t>
    <phoneticPr fontId="1" type="noConversion"/>
  </si>
  <si>
    <t>route_all</t>
    <phoneticPr fontId="1" type="noConversion"/>
  </si>
  <si>
    <t>crc</t>
    <phoneticPr fontId="1" type="noConversion"/>
  </si>
  <si>
    <t>cur</t>
    <phoneticPr fontId="1" type="noConversion"/>
  </si>
  <si>
    <t>log</t>
    <phoneticPr fontId="1" type="noConversion"/>
  </si>
  <si>
    <t>alarm</t>
    <phoneticPr fontId="1" type="noConversion"/>
  </si>
  <si>
    <t>cur</t>
    <phoneticPr fontId="1" type="noConversion"/>
  </si>
  <si>
    <t>disver_ce57</t>
    <phoneticPr fontId="1" type="noConversion"/>
  </si>
  <si>
    <t>disdev_ce57</t>
    <phoneticPr fontId="1" type="noConversion"/>
  </si>
  <si>
    <t>disethtr_ce57</t>
    <phoneticPr fontId="1" type="noConversion"/>
  </si>
  <si>
    <t>disalarm</t>
    <phoneticPr fontId="1" type="noConversion"/>
  </si>
  <si>
    <t>dispatch_hwce57</t>
    <phoneticPr fontId="1" type="noConversion"/>
  </si>
  <si>
    <t>dislldp_ce57</t>
    <phoneticPr fontId="1" type="noConversion"/>
  </si>
  <si>
    <t>distrans_ce57</t>
    <phoneticPr fontId="1" type="noConversion"/>
  </si>
  <si>
    <t>disntp</t>
    <phoneticPr fontId="1" type="noConversion"/>
  </si>
  <si>
    <t>disdir_ce</t>
    <phoneticPr fontId="1" type="noConversion"/>
  </si>
  <si>
    <t>disfan_fw_ce_fm</t>
    <phoneticPr fontId="1" type="noConversion"/>
  </si>
  <si>
    <t>dismem</t>
    <phoneticPr fontId="1" type="noConversion"/>
  </si>
  <si>
    <t>disalarm</t>
    <phoneticPr fontId="1" type="noConversion"/>
  </si>
  <si>
    <t>disinterror</t>
    <phoneticPr fontId="1" type="noConversion"/>
  </si>
  <si>
    <t>discur</t>
    <phoneticPr fontId="1" type="noConversion"/>
  </si>
  <si>
    <t>discrc</t>
    <phoneticPr fontId="1" type="noConversion"/>
  </si>
  <si>
    <t>disdev_fw_ce_fm</t>
    <phoneticPr fontId="1" type="noConversion"/>
  </si>
  <si>
    <t>discpu_ce_fm</t>
    <phoneticPr fontId="1" type="noConversion"/>
  </si>
  <si>
    <t>dispower_fw_ce_fm</t>
    <phoneticPr fontId="1" type="noConversion"/>
  </si>
  <si>
    <t>dislldp_fw_ce</t>
    <phoneticPr fontId="1" type="noConversion"/>
  </si>
  <si>
    <t>disiprouting_ce_fm</t>
    <phoneticPr fontId="1" type="noConversion"/>
  </si>
  <si>
    <t>disdev_fw_ce_fm</t>
    <phoneticPr fontId="1" type="noConversion"/>
  </si>
  <si>
    <t>discpu_ce_fm</t>
    <phoneticPr fontId="1" type="noConversion"/>
  </si>
  <si>
    <t>disethtr_fm</t>
    <phoneticPr fontId="1" type="noConversion"/>
  </si>
  <si>
    <t>dispatch_hwfm</t>
    <phoneticPr fontId="1" type="noConversion"/>
  </si>
  <si>
    <t>dislldp_fw_ce</t>
    <phoneticPr fontId="1" type="noConversion"/>
  </si>
  <si>
    <t>disiprouting_ce_fm</t>
    <phoneticPr fontId="1" type="noConversion"/>
  </si>
  <si>
    <t>display interface | inc error</t>
    <phoneticPr fontId="1" type="noConversion"/>
  </si>
  <si>
    <t>display current</t>
    <phoneticPr fontId="1" type="noConversion"/>
  </si>
  <si>
    <t>disdev_fw_ce_fm</t>
    <phoneticPr fontId="1" type="noConversion"/>
  </si>
  <si>
    <t>disenv_fw</t>
    <phoneticPr fontId="1" type="noConversion"/>
  </si>
  <si>
    <t>discpu_fw</t>
    <phoneticPr fontId="1" type="noConversion"/>
  </si>
  <si>
    <t>discrc</t>
    <phoneticPr fontId="1" type="noConversion"/>
  </si>
  <si>
    <t>dismem_fw</t>
    <phoneticPr fontId="1" type="noConversion"/>
  </si>
  <si>
    <t>disdir_fw</t>
    <phoneticPr fontId="1" type="noConversion"/>
  </si>
  <si>
    <t>dislldp_fw_ce</t>
    <phoneticPr fontId="1" type="noConversion"/>
  </si>
  <si>
    <t>disethtr_fw</t>
    <phoneticPr fontId="1" type="noConversion"/>
  </si>
  <si>
    <t>函数名</t>
    <phoneticPr fontId="1" type="noConversion"/>
  </si>
  <si>
    <t>命令</t>
    <phoneticPr fontId="1" type="noConversion"/>
  </si>
  <si>
    <t>h3cfw_disver</t>
    <phoneticPr fontId="1" type="noConversion"/>
  </si>
  <si>
    <t>display  version</t>
    <phoneticPr fontId="1" type="noConversion"/>
  </si>
  <si>
    <t>display clock</t>
    <phoneticPr fontId="1" type="noConversion"/>
  </si>
  <si>
    <t>h3cfw_disntp</t>
    <phoneticPr fontId="1" type="noConversion"/>
  </si>
  <si>
    <t>display  ntp-service    status</t>
    <phoneticPr fontId="1" type="noConversion"/>
  </si>
  <si>
    <t>h3cfw_disdir</t>
    <phoneticPr fontId="1" type="noConversion"/>
  </si>
  <si>
    <t>dir</t>
    <phoneticPr fontId="1" type="noConversion"/>
  </si>
  <si>
    <t>h3cfw_disdev</t>
    <phoneticPr fontId="1" type="noConversion"/>
  </si>
  <si>
    <t>display device</t>
    <phoneticPr fontId="1" type="noConversion"/>
  </si>
  <si>
    <t>h3cfw_disfan</t>
    <phoneticPr fontId="1" type="noConversion"/>
  </si>
  <si>
    <t>h3cfw_dispower</t>
    <phoneticPr fontId="1" type="noConversion"/>
  </si>
  <si>
    <t>display power</t>
    <phoneticPr fontId="1" type="noConversion"/>
  </si>
  <si>
    <t>h3cfw_discpu</t>
    <phoneticPr fontId="1" type="noConversion"/>
  </si>
  <si>
    <t>display cpu-usage</t>
    <phoneticPr fontId="1" type="noConversion"/>
  </si>
  <si>
    <t>display  memory</t>
    <phoneticPr fontId="1" type="noConversion"/>
  </si>
  <si>
    <t>h3cfw_disethtrunk</t>
    <phoneticPr fontId="1" type="noConversion"/>
  </si>
  <si>
    <t>display link-aggregation verbose Route-Aggregation 1</t>
    <phoneticPr fontId="1" type="noConversion"/>
  </si>
  <si>
    <t>h3cfw_disalarm</t>
    <phoneticPr fontId="1" type="noConversion"/>
  </si>
  <si>
    <t>display alarm</t>
    <phoneticPr fontId="1" type="noConversion"/>
  </si>
  <si>
    <t>h3cfw_disintbrief</t>
    <phoneticPr fontId="1" type="noConversion"/>
  </si>
  <si>
    <t>display int brief</t>
    <phoneticPr fontId="1" type="noConversion"/>
  </si>
  <si>
    <t>h3cfw_disipintbrief</t>
    <phoneticPr fontId="1" type="noConversion"/>
  </si>
  <si>
    <t>h3cfw_disiproute</t>
    <phoneticPr fontId="1" type="noConversion"/>
  </si>
  <si>
    <t>display ip int brief</t>
    <phoneticPr fontId="1" type="noConversion"/>
  </si>
  <si>
    <t>display ip routing-table</t>
    <phoneticPr fontId="1" type="noConversion"/>
  </si>
  <si>
    <t>h3cfw_dislldp</t>
    <phoneticPr fontId="1" type="noConversion"/>
  </si>
  <si>
    <t>display lldp neighbor-information list</t>
    <phoneticPr fontId="1" type="noConversion"/>
  </si>
  <si>
    <t>h3cfw_dissession</t>
    <phoneticPr fontId="1" type="noConversion"/>
  </si>
  <si>
    <t>display session statistics ipv4</t>
    <phoneticPr fontId="1" type="noConversion"/>
  </si>
  <si>
    <t>h3cfw_discur</t>
    <phoneticPr fontId="1" type="noConversion"/>
  </si>
  <si>
    <t>display current</t>
    <phoneticPr fontId="1" type="noConversion"/>
  </si>
  <si>
    <t>dir</t>
    <phoneticPr fontId="1" type="noConversion"/>
  </si>
  <si>
    <t>dev</t>
    <phoneticPr fontId="1" type="noConversion"/>
  </si>
  <si>
    <t>fan</t>
    <phoneticPr fontId="1" type="noConversion"/>
  </si>
  <si>
    <t>power</t>
    <phoneticPr fontId="1" type="noConversion"/>
  </si>
  <si>
    <t>h3cfw_dismem</t>
    <phoneticPr fontId="1" type="noConversion"/>
  </si>
  <si>
    <t>eth</t>
    <phoneticPr fontId="1" type="noConversion"/>
  </si>
  <si>
    <t>interface</t>
    <phoneticPr fontId="1" type="noConversion"/>
  </si>
  <si>
    <t>ip_int</t>
    <phoneticPr fontId="1" type="noConversion"/>
  </si>
  <si>
    <t>route</t>
    <phoneticPr fontId="1" type="noConversion"/>
  </si>
  <si>
    <t>lldp</t>
    <phoneticPr fontId="1" type="noConversion"/>
  </si>
  <si>
    <t>cur</t>
    <phoneticPr fontId="1" type="noConversion"/>
  </si>
  <si>
    <t>log</t>
    <phoneticPr fontId="1" type="noConversion"/>
  </si>
  <si>
    <t>taprun</t>
    <phoneticPr fontId="1" type="noConversion"/>
  </si>
  <si>
    <t>命令</t>
    <phoneticPr fontId="1" type="noConversion"/>
  </si>
  <si>
    <t>tapdev</t>
    <phoneticPr fontId="1" type="noConversion"/>
  </si>
  <si>
    <t>show running-config</t>
    <phoneticPr fontId="1" type="noConversion"/>
  </si>
  <si>
    <t>tapintstate</t>
    <phoneticPr fontId="1" type="noConversion"/>
  </si>
  <si>
    <t>show interface state</t>
    <phoneticPr fontId="1" type="noConversion"/>
  </si>
  <si>
    <t>taptrans</t>
    <phoneticPr fontId="1" type="noConversion"/>
  </si>
  <si>
    <t>show interface info</t>
    <phoneticPr fontId="1" type="noConversion"/>
  </si>
  <si>
    <t>tapcount</t>
    <phoneticPr fontId="1" type="noConversion"/>
  </si>
  <si>
    <t>show interface count</t>
    <phoneticPr fontId="1" type="noConversion"/>
  </si>
  <si>
    <t>函数名</t>
    <phoneticPr fontId="1" type="noConversion"/>
  </si>
  <si>
    <t>show device</t>
    <phoneticPr fontId="1" type="noConversion"/>
  </si>
  <si>
    <t>run</t>
    <phoneticPr fontId="1" type="noConversion"/>
  </si>
  <si>
    <t>int_info</t>
    <phoneticPr fontId="1" type="noConversion"/>
  </si>
  <si>
    <t>int_count</t>
    <phoneticPr fontId="1" type="noConversion"/>
  </si>
  <si>
    <t>ses</t>
    <phoneticPr fontId="1" type="noConversion"/>
  </si>
  <si>
    <t>int_state</t>
    <phoneticPr fontId="1" type="noConversion"/>
  </si>
  <si>
    <t>display logbuffer</t>
    <phoneticPr fontId="1" type="noConversion"/>
  </si>
  <si>
    <t>设备</t>
    <phoneticPr fontId="1" type="noConversion"/>
  </si>
  <si>
    <t>设备组</t>
    <phoneticPr fontId="1" type="noConversion"/>
  </si>
  <si>
    <t>巡检函数</t>
    <phoneticPr fontId="1" type="noConversion"/>
  </si>
  <si>
    <t>巡检函数表</t>
    <phoneticPr fontId="1" type="noConversion"/>
  </si>
  <si>
    <t>设备组1</t>
    <phoneticPr fontId="1" type="noConversion"/>
  </si>
  <si>
    <t>show_run</t>
    <phoneticPr fontId="1" type="noConversion"/>
  </si>
  <si>
    <t>display_cur</t>
    <phoneticPr fontId="1" type="noConversion"/>
  </si>
  <si>
    <t>HX-1</t>
    <phoneticPr fontId="1" type="noConversion"/>
  </si>
  <si>
    <t>巡检函数细表</t>
    <phoneticPr fontId="1" type="noConversion"/>
  </si>
  <si>
    <t>设备组3</t>
    <phoneticPr fontId="1" type="noConversion"/>
  </si>
  <si>
    <t>巡检命令</t>
    <phoneticPr fontId="1" type="noConversion"/>
  </si>
  <si>
    <t>设备组2</t>
    <phoneticPr fontId="1" type="noConversion"/>
  </si>
  <si>
    <t>display cur</t>
    <phoneticPr fontId="1" type="noConversion"/>
  </si>
  <si>
    <t>show_cur</t>
    <phoneticPr fontId="1" type="noConversion"/>
  </si>
  <si>
    <t>run</t>
    <phoneticPr fontId="1" type="noConversion"/>
  </si>
  <si>
    <t>方法</t>
    <phoneticPr fontId="1" type="noConversion"/>
  </si>
  <si>
    <t>对应命令</t>
    <phoneticPr fontId="1" type="noConversion"/>
  </si>
  <si>
    <t>对应列名</t>
    <phoneticPr fontId="1" type="noConversion"/>
  </si>
  <si>
    <t>show running config</t>
    <phoneticPr fontId="1" type="noConversion"/>
  </si>
  <si>
    <t>display current-config</t>
    <phoneticPr fontId="1" type="noConversion"/>
  </si>
  <si>
    <t>列名</t>
    <phoneticPr fontId="1" type="noConversion"/>
  </si>
  <si>
    <t>id</t>
    <phoneticPr fontId="1" type="noConversion"/>
  </si>
  <si>
    <t>device</t>
    <phoneticPr fontId="1" type="noConversion"/>
  </si>
  <si>
    <t>hj-2</t>
    <phoneticPr fontId="1" type="noConversion"/>
  </si>
  <si>
    <t>HX-2</t>
    <phoneticPr fontId="1" type="noConversion"/>
  </si>
  <si>
    <t>HJ-1</t>
    <phoneticPr fontId="1" type="noConversion"/>
  </si>
  <si>
    <t>hwar</t>
    <phoneticPr fontId="1" type="noConversion"/>
  </si>
  <si>
    <t>ciscoswitch</t>
    <phoneticPr fontId="1" type="noConversion"/>
  </si>
  <si>
    <t>hwce</t>
    <phoneticPr fontId="1" type="noConversion"/>
  </si>
  <si>
    <t>hwce57</t>
    <phoneticPr fontId="1" type="noConversion"/>
  </si>
  <si>
    <t>id</t>
    <phoneticPr fontId="1" type="noConversion"/>
  </si>
  <si>
    <t>device</t>
    <phoneticPr fontId="1" type="noConversion"/>
  </si>
  <si>
    <t>dis_ver</t>
    <phoneticPr fontId="1" type="noConversion"/>
  </si>
  <si>
    <t>time</t>
    <phoneticPr fontId="1" type="noConversion"/>
  </si>
  <si>
    <t>正常</t>
    <phoneticPr fontId="1" type="noConversion"/>
  </si>
  <si>
    <t>id</t>
    <phoneticPr fontId="1" type="noConversion"/>
  </si>
  <si>
    <t>device</t>
    <phoneticPr fontId="1" type="noConversion"/>
  </si>
  <si>
    <t>device</t>
    <phoneticPr fontId="1" type="noConversion"/>
  </si>
  <si>
    <t>notes</t>
    <phoneticPr fontId="1" type="noConversion"/>
  </si>
  <si>
    <t>配置异常</t>
    <phoneticPr fontId="1" type="noConversion"/>
  </si>
  <si>
    <t>confirm</t>
    <phoneticPr fontId="1" type="noConversion"/>
  </si>
  <si>
    <t>是</t>
    <phoneticPr fontId="1" type="noConversion"/>
  </si>
  <si>
    <t>device_table</t>
    <phoneticPr fontId="1" type="noConversion"/>
  </si>
  <si>
    <t>group_table</t>
    <phoneticPr fontId="1" type="noConversion"/>
  </si>
  <si>
    <t>result_notes_table</t>
    <phoneticPr fontId="1" type="noConversion"/>
  </si>
  <si>
    <t>group_id</t>
    <phoneticPr fontId="1" type="noConversion"/>
  </si>
  <si>
    <t>func</t>
    <phoneticPr fontId="1" type="noConversion"/>
  </si>
  <si>
    <t>jixian</t>
    <phoneticPr fontId="1" type="noConversion"/>
  </si>
  <si>
    <t>result</t>
    <phoneticPr fontId="1" type="noConversion"/>
  </si>
  <si>
    <t>group_name</t>
    <phoneticPr fontId="1" type="noConversion"/>
  </si>
  <si>
    <t>result_specific_table</t>
    <phoneticPr fontId="1" type="noConversion"/>
  </si>
  <si>
    <t>ver</t>
    <phoneticPr fontId="1" type="noConversion"/>
  </si>
  <si>
    <t>clock</t>
    <phoneticPr fontId="1" type="noConversion"/>
  </si>
  <si>
    <t>ntp</t>
    <phoneticPr fontId="1" type="noConversion"/>
  </si>
  <si>
    <t>env</t>
    <phoneticPr fontId="1" type="noConversion"/>
  </si>
  <si>
    <t>cpu</t>
    <phoneticPr fontId="1" type="noConversion"/>
  </si>
  <si>
    <t>mem</t>
    <phoneticPr fontId="1" type="noConversion"/>
  </si>
  <si>
    <t>flash</t>
    <phoneticPr fontId="1" type="noConversion"/>
  </si>
  <si>
    <t>lldp</t>
    <phoneticPr fontId="1" type="noConversion"/>
  </si>
  <si>
    <t>ospf_nei</t>
    <phoneticPr fontId="1" type="noConversion"/>
  </si>
  <si>
    <t>ospf_route</t>
    <phoneticPr fontId="1" type="noConversion"/>
  </si>
  <si>
    <t>pim_nei</t>
    <phoneticPr fontId="1" type="noConversion"/>
  </si>
  <si>
    <t>mroute</t>
    <phoneticPr fontId="1" type="noConversion"/>
  </si>
  <si>
    <t>port_channel</t>
    <phoneticPr fontId="1" type="noConversion"/>
  </si>
  <si>
    <t>command</t>
    <phoneticPr fontId="1" type="noConversion"/>
  </si>
  <si>
    <t>result_spec</t>
    <phoneticPr fontId="1" type="noConversion"/>
  </si>
  <si>
    <t>command</t>
    <phoneticPr fontId="1" type="noConversion"/>
  </si>
  <si>
    <t>display ntp status</t>
    <phoneticPr fontId="1" type="noConversion"/>
  </si>
  <si>
    <t>display ntp status</t>
    <phoneticPr fontId="1" type="noConversion"/>
  </si>
  <si>
    <t>xxxxxxxxx</t>
    <phoneticPr fontId="1" type="noConversion"/>
  </si>
  <si>
    <t>group_id</t>
    <phoneticPr fontId="1" type="noConversion"/>
  </si>
  <si>
    <t>command</t>
    <phoneticPr fontId="1" type="noConversion"/>
  </si>
  <si>
    <t>function__group_relationship_table</t>
    <phoneticPr fontId="1" type="noConversion"/>
  </si>
  <si>
    <t>device_group_relationship_table</t>
    <phoneticPr fontId="1" type="noConversion"/>
  </si>
  <si>
    <t>expand</t>
    <phoneticPr fontId="1" type="noConversion"/>
  </si>
  <si>
    <t>function_table</t>
    <phoneticPr fontId="1" type="noConversion"/>
  </si>
  <si>
    <t>result_overall_table</t>
    <phoneticPr fontId="1" type="noConversion"/>
  </si>
  <si>
    <t>group_id</t>
    <phoneticPr fontId="1" type="noConversion"/>
  </si>
  <si>
    <t>hwar</t>
    <phoneticPr fontId="1" type="noConversion"/>
  </si>
  <si>
    <t>ciscoswitch</t>
    <phoneticPr fontId="1" type="noConversion"/>
  </si>
  <si>
    <t>shint</t>
  </si>
  <si>
    <t>shospfnei</t>
  </si>
  <si>
    <t>shpimnei</t>
  </si>
  <si>
    <t>shlldp</t>
  </si>
  <si>
    <t>shlogging</t>
  </si>
  <si>
    <t>shbfdsess</t>
  </si>
  <si>
    <t>show ip route summary</t>
    <phoneticPr fontId="1" type="noConversion"/>
  </si>
  <si>
    <t>shpoch</t>
    <phoneticPr fontId="1" type="noConversion"/>
  </si>
  <si>
    <t>show ip ospf route summary</t>
    <phoneticPr fontId="1" type="noConversion"/>
  </si>
  <si>
    <t>showospfsum</t>
    <phoneticPr fontId="1" type="noConversion"/>
  </si>
  <si>
    <t>丁嘉俊</t>
  </si>
  <si>
    <t>冯锟明</t>
  </si>
  <si>
    <t>黄智江</t>
  </si>
  <si>
    <t>江倩涛</t>
  </si>
  <si>
    <t>李瀚洋</t>
  </si>
  <si>
    <t>李伟亮</t>
  </si>
  <si>
    <t>夏华飞</t>
  </si>
  <si>
    <t>周升胜</t>
  </si>
  <si>
    <t>姜启耀</t>
  </si>
  <si>
    <t>王峥锋</t>
  </si>
  <si>
    <t>7月</t>
  </si>
  <si>
    <t>-</t>
  </si>
  <si>
    <t>提交不及时次数</t>
  </si>
  <si>
    <t>disdir_ar</t>
    <phoneticPr fontId="1" type="noConversion"/>
  </si>
  <si>
    <t>display alarm active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</si>
</sst>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9.8000000000000007"/>
      <color rgb="FF6A8759"/>
      <name val="Consolas"/>
      <family val="3"/>
    </font>
    <font>
      <sz val="9.8000000000000007"/>
      <color rgb="FFA9B7C6"/>
      <name val="Consolas"/>
      <family val="3"/>
    </font>
    <font>
      <sz val="11"/>
      <name val="宋体"/>
      <family val="2"/>
      <scheme val="minor"/>
    </font>
    <font>
      <sz val="9.8000000000000007"/>
      <name val="Consolas"/>
      <family val="3"/>
    </font>
    <font>
      <sz val="14"/>
      <color rgb="FF000000"/>
      <name val="宋体"/>
      <family val="3"/>
      <charset val="134"/>
      <scheme val="minor"/>
    </font>
    <font>
      <sz val="12"/>
      <color theme="1"/>
      <name val="等线"/>
      <family val="3"/>
      <charset val="134"/>
    </font>
    <font>
      <b/>
      <sz val="9"/>
      <color rgb="FF333333"/>
      <name val="仿宋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2" fillId="4" borderId="0" xfId="0" applyFont="1" applyFill="1"/>
    <xf numFmtId="0" fontId="2" fillId="2" borderId="0" xfId="0" applyFont="1" applyFill="1"/>
    <xf numFmtId="0" fontId="0" fillId="5" borderId="0" xfId="0" applyFill="1"/>
    <xf numFmtId="0" fontId="3" fillId="0" borderId="0" xfId="0" applyFont="1" applyAlignment="1">
      <alignment vertical="center"/>
    </xf>
    <xf numFmtId="0" fontId="0" fillId="6" borderId="1" xfId="0" applyFill="1" applyBorder="1"/>
    <xf numFmtId="0" fontId="0" fillId="0" borderId="1" xfId="0" applyBorder="1"/>
    <xf numFmtId="0" fontId="0" fillId="0" borderId="1" xfId="0" applyFill="1" applyBorder="1"/>
    <xf numFmtId="14" fontId="0" fillId="0" borderId="1" xfId="0" applyNumberFormat="1" applyBorder="1"/>
    <xf numFmtId="0" fontId="0" fillId="0" borderId="3" xfId="0" applyBorder="1"/>
    <xf numFmtId="0" fontId="0" fillId="2" borderId="0" xfId="0" applyFill="1" applyBorder="1" applyAlignment="1">
      <alignment horizontal="center"/>
    </xf>
    <xf numFmtId="0" fontId="0" fillId="0" borderId="0" xfId="0" applyBorder="1"/>
    <xf numFmtId="0" fontId="4" fillId="0" borderId="0" xfId="0" applyFont="1" applyAlignment="1">
      <alignment vertical="center"/>
    </xf>
    <xf numFmtId="0" fontId="5" fillId="4" borderId="1" xfId="0" applyFont="1" applyFill="1" applyBorder="1"/>
    <xf numFmtId="0" fontId="6" fillId="4" borderId="1" xfId="0" applyFont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9" fillId="0" borderId="0" xfId="0" applyFont="1" applyAlignment="1">
      <alignment horizontal="center" vertical="center" wrapText="1"/>
    </xf>
  </cellXfs>
  <cellStyles count="1">
    <cellStyle name="常规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7</a:t>
            </a:r>
            <a:r>
              <a:rPr lang="zh-CN" altLang="en-US"/>
              <a:t>月网络主机巡检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Sheet4!$A$2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Sheet4!$B$1:$K$1</c:f>
              <c:strCache>
                <c:ptCount val="10"/>
                <c:pt idx="0">
                  <c:v>丁嘉俊</c:v>
                </c:pt>
                <c:pt idx="1">
                  <c:v>冯锟明</c:v>
                </c:pt>
                <c:pt idx="2">
                  <c:v>黄智江</c:v>
                </c:pt>
                <c:pt idx="3">
                  <c:v>江倩涛</c:v>
                </c:pt>
                <c:pt idx="4">
                  <c:v>李瀚洋</c:v>
                </c:pt>
                <c:pt idx="5">
                  <c:v>李伟亮</c:v>
                </c:pt>
                <c:pt idx="6">
                  <c:v>夏华飞</c:v>
                </c:pt>
                <c:pt idx="7">
                  <c:v>周升胜</c:v>
                </c:pt>
                <c:pt idx="8">
                  <c:v>姜启耀</c:v>
                </c:pt>
                <c:pt idx="9">
                  <c:v>王峥锋</c:v>
                </c:pt>
              </c:strCache>
            </c:strRef>
          </c:cat>
          <c:val>
            <c:numRef>
              <c:f>Sheet4!$B$2:$K$2</c:f>
              <c:numCache>
                <c:formatCode>General</c:formatCode>
                <c:ptCount val="10"/>
                <c:pt idx="0">
                  <c:v>4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24</c:v>
                </c:pt>
                <c:pt idx="9">
                  <c:v>22</c:v>
                </c:pt>
              </c:numCache>
            </c:numRef>
          </c:val>
        </c:ser>
        <c:ser>
          <c:idx val="1"/>
          <c:order val="1"/>
          <c:tx>
            <c:strRef>
              <c:f>Sheet4!$A$3</c:f>
              <c:strCache>
                <c:ptCount val="1"/>
                <c:pt idx="0">
                  <c:v>提交不及时次数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Sheet4!$B$1:$K$1</c:f>
              <c:strCache>
                <c:ptCount val="10"/>
                <c:pt idx="0">
                  <c:v>丁嘉俊</c:v>
                </c:pt>
                <c:pt idx="1">
                  <c:v>冯锟明</c:v>
                </c:pt>
                <c:pt idx="2">
                  <c:v>黄智江</c:v>
                </c:pt>
                <c:pt idx="3">
                  <c:v>江倩涛</c:v>
                </c:pt>
                <c:pt idx="4">
                  <c:v>李瀚洋</c:v>
                </c:pt>
                <c:pt idx="5">
                  <c:v>李伟亮</c:v>
                </c:pt>
                <c:pt idx="6">
                  <c:v>夏华飞</c:v>
                </c:pt>
                <c:pt idx="7">
                  <c:v>周升胜</c:v>
                </c:pt>
                <c:pt idx="8">
                  <c:v>姜启耀</c:v>
                </c:pt>
                <c:pt idx="9">
                  <c:v>王峥锋</c:v>
                </c:pt>
              </c:strCache>
            </c:strRef>
          </c:cat>
          <c:val>
            <c:numRef>
              <c:f>Sheet4!$B$3:$K$3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8894576"/>
        <c:axId val="-18884784"/>
      </c:barChart>
      <c:catAx>
        <c:axId val="-1889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8884784"/>
        <c:crosses val="autoZero"/>
        <c:auto val="1"/>
        <c:lblAlgn val="ctr"/>
        <c:lblOffset val="100"/>
        <c:noMultiLvlLbl val="0"/>
      </c:catAx>
      <c:valAx>
        <c:axId val="-1888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889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457200</xdr:colOff>
      <xdr:row>21</xdr:row>
      <xdr:rowOff>182880</xdr:rowOff>
    </xdr:to>
    <xdr:sp macro="" textlink="">
      <xdr:nvSpPr>
        <xdr:cNvPr id="1025" name="4b1d6dcb" descr="data:image/png;base64,iVBORw0KGgoAAAANSUhEUgAAA8YAAAKYCAIAAAA+AHalAAAAAXNSR0IArs4c6QAAIABJREFUeAHs3WtMVNf+//H1aJ7NEx6Q8ICQkBBCjDHGGI3EqNF4jNdq1Na0Wm1r1dbetFa0XiptoVrUWvUctXipqFistl4qFu838I5UykVEQKUgjsN9wGFmz99f1//sM4fLMLMGztbNe4e0m5n13bPWa9YkH7Zr9hYeNgQQQAABBBBAAAEEEAhCQARRSykCCCCAAAIIIIAAAgh4iNRMAgQQQAABBBBAAAEEghIgUgfFRzECCCCAAAIIIIAAAkRq5gACCCCAAAIIIIAAAkEJEKmD4qMYAQQQQAABBBBAAAEiNXMAAQQQQAABBBBAAIGgBIjUQfFRjAACCCCAAAIIIIAAkZo5gAACCCCAAAIIIIBAUAJE6qD4KEYAAQQQQAABBBBAgEjNHEAAAQQQQAABBBBAICgBInVQfBQjgAACCCCAAAIIIECkZg4ggAACCCCAAAIIIBCUAJE6KD6KEUAAAQQQQAABBBAgUjMHEEAAAQQQQAABBBAISoBIHRQfxQgggAACCCCAAAIIEKmZAwgggAACCCCAAAIIBCVApA6Kj2IEEEAAAQQQQAABBIjUzAEEEEAAAQQQQAABBIISIFIHxUcxAggggAACCCCAAAJEauYAAggggAACCCCAAAJBCRCpg+KjGAEEulDg2bNnDQ0NPg5YX19fXl6uaZqPNi/OUy6X68KFC/Hx8Y8ePerCXtnt9rS0tJycnK5y0DStrKzMZrN1YSc9Ho+maXfv3r127ZrL5Wr3yM3NzfoQnj17Vl5errd0uVzPnj1rt6rtg+Xl5QcOHKioqGj7lMfjaWho+P333zt6tt0SHkQAAQQUBIjUCmiUIIBA1wuUl5dPmzYtMTGxqamp3aM3Nzdv2bJl4MCBZ86c0bNXuy31B2tqau7evetnY73K4/HYbLbNmzf/+eefeubzftZ73+12X79+fdGiRTdu3GjVuLm5edOmTUKIxYsX2+127yrlfU3Tbt261b9//xEjRty5c6fVK6odNj8/f9iwYZMmTcrPz++SA8pu2O329957Lzo6+vjx423fgoKCgtmzZ585c8btdrtcrsOHD48cOfL69euapjkcjs2bN69ataqurq7TETmdzh9++MFisUyaNCkvL69V/zVNu3z5cnR09PTp00tLSzs9Gg0QQAABZQEitTIdhQgg0JUCFRUVU6ZMGT16dElJiTyuy+Wqqqq6fft2enp6SkpKYmJiRESEECI6OjojI8Ptdvt+eZvN9s4774wfPz7QLNXS0rJnz56QkJCoqKjU1FSHw+HjhVwuV2pqqtVqnTVrVmVlpXdLl8uVkpJisViEEOvXr/d9HO9C3/sOh2P16tVCiClTpty/f993Y3+etdvtc+fOFULExsZevXpVT6WaptXV1TmdTn8O0raNpmnnzp2Ljo6Oioo6evRoq1Sdl5c3ZMiQ51H+jz/+cLvdx44dCwsLmzZt2sOHD5uamr755pvQ0NDU1NSWlpa2R271SFlZ2fjx42X/ZSj3bnD37t1hw4YJISZPnlxYWKiPzrsN+wgggEDwAkTq4A05AgIIdIGAzWabNWuWEOKtt956//33hw0bJsOoaLO9+eabDx486PQlHQ7H8uXLrVbrnj17ZJ5zOp02m+3evXvXr1/PyMjYv3//P//5z/j4+Pnz50+aNKlv375tXkosWbKkpqbGx2u5XK5du3bJwu+//765uVlv/DxDr1y5UggRFRW1cePGhw8fynUIFRUVQQa7P//8c/DgwUKId999t1WO11/d/52WlpZt27YJIWJiYrKysmTfnj179s9//nPQoEE5OTn6oZqbm0tLS/2JubLE4XB8++23UuDw4cPehTk5Of3799eHsGPHDmm4fv3652f0pVtsbOzt27c7tbLb7e+8844QYsGCBW3frGvXrvXq1UsI8cEHH2RkZHT0byD6GNlBAAEE1ASI1GpuVCGAQBcL1NTUvPfee21DbatHwsLC0tPTO41ZHo/H5XLJoBYaGjpo0KCQkJBWh+r014kTJ5aVlfkeZ11d3aeffiqEGDRo0K5du548eaK3LykpGT16tBBi1apVjY2NHo/H4XCsW7du/Pjx+fn5ejOFnebmZhlVhfi/0B/kqhL9RPs//vEP/Z8IWlpakpOTrVbr3r175R8kbrf7999/j4mJWbduXW1trZ/dLisrmzhxoszrFy9elG+c2+0+fPhwaGhoRETEiRMnbDabPE0+ZcqUBw8e6GedP/jgg8ePH3f6Qna7ffbs2UKI5ORk79Qu58Du3bstFku/fv1u377d6aFogAACCCgLEKmV6ShEAIH/E9DPLvtOqGvWrPE+g9vWrra29oMPPhBChISEjB49+uOPP/7uu+8OHjyYlZVVWlrqcDhKS0tHjRoVFhZ2/PhxPyN1Wlqa1Wptt2PR0dHjx4+fM2fO8uXLN2zYkJKScvjw4ePHj9+8eTM7Ozs+Pl4IMXPmzE6/tFdcXDxy5EiLxbJ9+3bvNRJut/vQoUMyNe7YsUOuXfn666/l2pVZs2aVl5e3RfD/kT/++GPQoEFCCO+lMv6Xe7fUA+748ePlqXSPxyP7HxISMnDgwHfeeWfAgAHejKtXr/ZzHYvL5ZIOMTExV65ckW9cY2Pj8uXLhRAzZsyoqqq6cuVKr169QkJC0tLSnE7niRMnwsPD+/Tp03YVh3e39X2bzTZz5kwhxM6dO1stL3n69Kk8gS2E2LRpk+8ZqB+QHQQQQEBBgEitgEYJAgj8R6CkpGTUqFHeeavd/Q0bNvi+hkN9ff0nn3wiT7vKc7r/eY2/90pKSv7xj3+Eh4f7eZba7XYfOXIkNDS0b9++u3btunDhwp07dx4+fPh86XBlZWWrBQDPrzSycuXK4cOHFxQUuFyunTt3CiHefPNN35Ha5XIdOHAgJCRk+PDhhYWFLpdLD5p2u33evHntUsgHv/7663aH2WrUHf3qcDi+/vprIcSXX36pv2hHjX0/rqfniRMn6kFf07SzZ8/KPwBajWL8+PF37971fUzvZysqKqZNmzZhwgR9uY48f2+xWH788ceGhoZ169YJIV599dXy8vKGhoZly5YJIZYuXVpfX+99nI72Hz9+/Prrr1sslpSUFO9IrWna1atX5aoPIUSvXr0uXLjgzx9jHb0QjyOAAAI+BIjUPnB4CgEEOhe4efNm7969W6WuVr8OHz6806UODQ0NCxYsEEIsX7683Yx4//79kSNHhoeHZ2Rk+BOMNE07evRoWFjYmDFj9JOvmqadP38+KioqOTnZ+6RyXV2dDPTfffddY2Ojn5H68ePHM2bMEEJs2LDBbrevXr165syZ8jJ/p0+fjoqK0h2sVuvw4cNDQ0PlI8uXL//rr786x+24haZpZ86cmTZtWmFhYcet/HrG5XLJ0/lTp071vtjclStXYmJiLBbLu+++u3Hjxq1bt06ePFkIsWjRIt/XOmz1qvJE9dq1a+Xbqmma/DJibGzsn3/+WVJSMmbMmJCQkNTUVJfLVVBQMHTo0KioqHPnzvnzLns8noqKiqlTp1qt1v3799fV1elBvKmpSX6P86233lqzZo3Van311Vf1mdCqk/yKAAIIBClApA4SkHIEerSApmnp6elhYWEWiyUhIeHhw4feMUiuo7Varbt27fLOr+2S1dXVffTRR0KI+Ph470hdXV2dnp7++++/5+XlDR8+PDw8/OTJk96v0u7R5HWR9UhdVlamnyPPzs7u+/emr0PweDxVVVUyHI8cObKgoMCfSC2vU/G8P7Gxsbm5uQ6H46uvvhJCbNy4sby8XK4Lnzt37sGDB2/cuNHY2HjmzBkZst9//33fJ787GlGrx6urq4uKipqbm+V3Li9durRr164VK1a88sorsbGxGRkZrRYWtyrXf3W5XPv27bNYLNOmTSstLS0sLDx9+rTdbpdf7IuJibl69arH42lubpYJdfHixQFFao/HU1tbm5eXJ08h19fXL1my5PmfFl988UVdXV1aWlpISMikSZMePHgge2K1Wt99992nT5/qPfS9U15ePnHixJCQkJ9++unChQtLly6VK+DlRUUiIyMzMjKqqqref/99IYT/S1Z8vyjPIoAAAq0EiNStQPgVAQQCEJBfYhNCvPfee60ykNPp3L59u8Vikf+g3+lBa2pqZOiZOnXqP//5zy+//HLOnDnyuhZCiPDw8C+++GLAgAERERGnTp0KKFKPGjVq7969s2fPltctzsrKio6OFkLMnj07JSVFXlMiLy8vNjZWrjeorq72J1JXV1fPnz9fCPH11187HI6//vrr1VdfFUJERka+9dZbcg133759U1JSnE5nRUWFjOxDhgz5448/OtVo1cDlctnt9rt372ZlZR0/fjwlJeXrr7+eMWNGTEyMfiK81U5oaOiWLVt8ZN+GhoaysrI7d+5kZ2fLNSTeR5g1a9bevXujo6N79ep1/fp1j8fT1NSUmJgohIiLi/Nx2FY9l3/bnD9/ftiwYb/99pvL5crLyxs8eHBMTMylS5cqKyunT59usVh27NjhdDrtdvu7774rw7H3Eg7vY9bU1OTm5ubk5Fy7du33339PTU1dt25dK4dp06YVFBTIi4J/8sknNTU1mqbdvn07NjY2MjIyPT290yswer8i+wgggIA/AkRqf5RogwAC7Qs4HI4vvvjCarXKf7X3blRcXDxmzJjQ0NBDhw51FI+828s45Z3q2t2PiIg4e/ZsQJF66NChK1asCAkJGT9+/J07d37++eeQv7fJkydbrdZRo0bl5uYePHhQXoj63LlzLS0tnUZque4iKiqqT58+Z86cycvL27Rpk7yoyNChQ72/ExkTE3P8+PGNGzcKIUJDQ9PS0vzRuH///pw5c9oV6OhBi8UyYMCA11577aOPPoqPj9+0adOPP/6Yk5PTKj5qmpaTkzNy5MiOjtPq8T59+ty8eVNGapm8lyxZ4nsVuMvlstls+fn5Z86c2b59+0cffSQXNPfq1Ss9PX3nzp0Wi2X+/Pl2uz0jIyMiImLkyJFFRUWapl27dq13794jR468d++e99zw3m9qatq3b19kZGSrfrb6NSoqKjQ0tFevXpcuXZKzxel07tixw2KxjBo1KvjVMt5dYh8BBBDweDxEaqYBAgioCzQ1NR0+fDgxMbHV99WcTqe81PHrr7/u54WTnzx5Is/jymw0ePDgBQsW/PDDD+np6dnZ2Y8fP87NzR0yZEhkZKSfq2y911I/vw/iihUrhBADBw6UtwV56623SkpKPv/8cyHE2LFjX3nlFSHE22+/bbPZfH89UdO0qqqqI0eOyJJWSW748OFvvvmmvJbFunXr5Olwvc3SpUv9uSOgfD8aGhq2bdsWFhamlwshrFbr4MGDp02bJi/PFxMT8+OPP965c8dut/vzZ4Y8sqZpd+7cGTNmjPeRhRCjRo06ceJEQUFBZWWlw+E4e/bs83O6AwYMuHPnjozUcmXL0qVLO4rUzc3NKSkprfqsv8qAAQMOHjw4Y8aM8PDwY8eO1dXVyet+rFu3rrm5+dmzZ99//70QotOLw2iadvPmzbFjxwoh+vfvL1/OarVu2rTp7t27dru9pqYmISEhJCRk9erV3l2tqKiYPn26XA7e9grW6h8DKhFAAAEiNXMAAQS6Q6C4uHjUqFHysmj+nJTVv2T2PDWuXbtW/4aZd9/y8/MHDx4cGRnp53UbvCP1gwcPysvL9cgurzXR0tJSXFwsk5m8eN/PP//s+nvzcZba5XL9+uuvzxei6ElR3wkPD//kk08iIyOnTJlSUlIibx4+fPhw2WDMmDFFRUXeI+p03+Vy5eTk/PLLL1lZWSUlJXo61DTtwoULkZGRgwcPLigo6PQ4bRtomnb37t0ff/zx8uXLe/bskanU+wonmqZlZGSEh4cPHTpU/r3kcDi+/PJLIcTnn3+u96TtkZ1O54EDB9peKiQ6OvrMmTOXLl2KiYmZNm1aRUXFvXv3RowYod9fprKycurUqVFRUefPn/fnz4Ompian0ym/3SiECAsLO3r0qPb3dvLkycjISP2y4k6nMz8/f/fu3W+99dZrr71m/XvbsmVLq6u+tB0LjyCAAAL+C3CW2n8rWiKAgF8CTqdzy5YtQojx48d3eqsU/YgPHz4cP35820uh6Q3y8vIGDRoUFRWl3zFEf6rdHe9ILb83mZWVJS9Oop95dbvdJ0+elN8aHDt2rLx1ue+z1PKOLWvXrpXLpr/55pvk5GR52Li4uKqqqtOnTxcUFMhQWFxc/Prrr8tIHRERIa+73G5vA3pQv8KdnncDKvdurK8IF0L06dPn119/lRdv1i9BOGrUKPkmOhwOebnuZcuWeX9/1Ptoct/lcp0/f37nzp3Xr1+/efPmP/7xj+cCX3zxRX19vbwEdd++fW/cuPH06VP5Jc6kpKSmpqb6+vqlS5fKyN7u31RtX8jtdv/666/yOioWi+Vf//pXU1PT/fv35c1lXn/99WXLlk2bNk2/0Ir+x48QwmKxxMXF5eTk+B5L2xflEQQQQKBdASJ1uyw8iAAC6gJFRUVyqe769ev9v7nG3bt3hw0bFhYWduzYMf0kpdvtrqqqunjx4r59+86ePTtw4MCoqKjLly/rDXz0slWk9ng8NTU1+rWiv/vuO4fDoWna9evX5X1MBg4cePPmTU3TOo3U8gY3hw4devToUXNz84YNG4QQ/fr1u3HjhnfHysvL5S1ILBaLTO1Wq3X16tVB3uxQfuHv1KlTERERw4cPLy4u9oHg+ylN086dO9dqdcqkSZPOnz/f2NiYmpoqLzwnl+44HI5Vq1YJIVasWOFnDHU6ncnJyRaLJTY2Vq4eqampkTf0kQn7999/j4iI6N+/v6Q7e/ZsVFRUTEyMn381tbr4d0hIyJo1az788EP5bw7eAVrf79Wr16RJk7xPolssljfeeCM3N9e3Fc8igAACvgWI1L59eBYBBAITkN/ts1gs+j/o+1kvr21ntVqXLl2alJQ0Z86cIUOGWCwW7zBksViio6OzsrL8OWbbSJ2dnd2/f395wNDQ0H379j158kReDFs+OG/evE7XUnu/tLyZSN++fS0Wyw8//KBfp8/j8VRWVsr4HhkZ+euvv1ZWVsp123Ihr35HFe+j+b+vaZq8xaD3LcRleXNzc35+fnV1tT9Hq66ulgFUR9Z3kpKS5Fcq586dK5cdy6+iCiFWrlzpZ6R+9OjRpEmThBDvvvuuvFW7vPLg80Ua/fr1u3nzps1mk/cSj4uLq6urs9ls8maHH3/8cadrneWpeu+Lf+udnzlzZklJydGjR6dOnfrKK6/s3r07Ozv7r7/+am5uLigoeL6yaOHChXpjIURUVFRmZqY/YrRBAAEEOhIgUnckw+MIIKAiUF5ePnXqVP1e034eQs+I3kFH37dYLIMGDZJnvuV9rf05bKtIrd/4Izo6Wq6Ejo2NXb9+vbx2xNixY0NCQqxW6549e5qbm32spfZ+aX3pwnvvvWez2ZxO5717927evPngwQN5LlZe7kOuJq+urpYLG4QQkyZNOnv2rJ/B1PsV5b6macePHw8LC4uOjl69evXatWs//fTTV199tU+fPhItPj6+07UTmqbJNce688yZM/fs2SNPWicmJsovdH7++eeyn89P6stHVq1a5WfPW1pa0tLSwsLCQkNDDx48KB0ePnwoF2Z8/fXXDQ0NcuVGVFTUmTNnWlpa5N0oIyMjO71UYl1d3WeffSaEGDRokHxD5YrwsLAweX9N+R1Z70M1NDTIL0SOHDly7969+g016+vrvf95oS04jyCAAAKdChCpOyWiAQII+CvgdrsPHz4sl65+99133mdtfR/C6XRu3rxZZrsRI0Z89tln27dvv3DhQnFxcW1trYw7t2/f7tevX0xMzLVr13wfTT7rHakfPHiQn58/dOjQ0NDQ1NTUH374wWKxPL+mm1zyMX/+/Hv37smLTMfGxl6/fn3Hjh2d3pBc3nQwNDRUXhJu/vz5Mp33799fXo6jb9++p06d8v525uPHj+XtbORIw8LCpkyZ8vbbby9cuLDttww1TSsqKlq+fPnb/96mTZvWr18/PQH72LFarcnJyb79Kysr5bqUN954Q2bTuXPnVlZWJicnW63W9evXv/vuu0KIf/3rX/I2PQ6HQ+bRVvfi8f1e1NbWLl68WAjx2muvyVszPnv2TC6VkatBHj16NGXKFHlpc7vdLu9VLq++UlVV1dHB9SUrAwYM2LNnz+DBg8PDw9evXy/vvPjll19mZ2drmpaZmRkTEzN79mx5jlzeOzMyMtL/qxl21AEeRwABBFoJEKlbgfArAgioC9TU1MiFBP7fNly+WE1NjUy0CxYs6Ogyc7du3erTp0+vXr0UIvW9e/dkZJ8xY0ZlZWV5ebm8LYsQIjY29vbt2/J7ijITJyUlya9Xel8Bwxulrq7u1KlTmzdvHjhwoI9c23Yp+ePHj+XChlZV+olV71eRa6ZzcnLkVf9alchfw8LC5syZs3Llym+//XbLli379u1LT0/Pysq6fft2QUGBjytaOJ3OXbt2Wa3WPn36nDt3LikpSQjx/vvvP38Hny/1XrlyZXJy8ujRo0NDQ48cOSKvbO1wOOTalS+//NLPs9Tey76jo6MzMzPlFTnk9aeFEJs3b25oaEhOThZCREREHD9+3OFwyK9+ylX1rS6qrfs8efJErhj5/vvvs7OzY2NjIyIi0tPTt2zZ8tFHHw0ZMkTG6PLy8ilTpoSFhf36668ul8vtdssLkPft2/fatWucmdY92UEAgeAFiNTBG3IEBBD4/wL5+fnyHoSxsbF5eXn+u8jvJlqt1r1793qf1vU+ws2bN3v/vd24ccP78Y729bPUo0aNOnr0qLymdUZGhvwCYkpKitVqDQkJSUlJkTfult91s1gsu3fvliGvo0jd2NgoM6gecwcPHpyUlLR9+/Zhw4bJtblWqzUiImL9+vW7du1atmzZhAkTvO//IoQYMGDAkiVLfvzxx/T09OvXr/s4I1teXp6YmPj+++/Hx8cnJycfOXLk8uXL3333ndVqnTBhwqNHjzoS8PH4n3/+OXToULkEvLa2Vt5p/MMPP5R/z1RWVh4+fDg6Orp37966dmNjo1y48tVXX/kI621fVN6u0nttvc1me/vtt4UQkydPfvToUW5u7qBBg/TFQvKqIEKIjv6+crlcBw4cCA0Nff3112X5wIEDIyMjz58///zG8vfv34+Pjw8JCUlNTa2vr5d3fJw+ffrjx4/15eBvvvnm48eP23aVRxBAAAFlASK1Mh2FCCDwXwL6ZdfkWmH/v4EnV1CEhIT0798/Jyfnvw7q9cuNGzd69+6t38zP65n2d/VI/fxSxzLpxsfHyztpP3nyRN78fMWKFbW1tbLe7XYfOnRo5MiROTk5na6lfvLkibwA3Lx5886cOdPY2Giz2WbOnBkSErJu3bqioiK5pkLP3K125s6dG0ykk10NCQmZOHGi/846U3V19aJFi4QQH330kd1ub2pqkrdF/OSTT2Skdrlcu3btslgskyZN0o+vR+qvv/5aj9RPnz7Nzc19/PhxR2d8XS7XTz/9ZLVaR48eXVJSIvug3wkoKirqwoULNTU1H3/8sRBi7ty5drvdZrPNmjVLCNHuom1N0/74449hw4b169fvypUr8maQ/fv3j4qKkjdK1DQtPT09LCxsxIgReXl5R44cCQ0NDQ8P/+2330pKSiZMmCDPZ3d0/ltXYgcBBBAISIBIHRAXjRFAoEOB5uZmebJTCPHGG2/4OO3a6hB2u13efPv999/3camKa9eu9erVq2/fvtnZ2a2O0O6veqSWcXbUqFHyliVNTU3yLn1z5sxpdWfH0tLStLS0+vr6TiO1x+MpKyvLzMyU64w9Ho/L5Tp69Oi2bduKiopqa2vlmmmr1Tp8+PC5c+cmJCRs27Zt8eLFz8+Cy/OpHWXQdsfS6kG3252WlhYSEjJ58uS//vqr1bO+f3U6nbt37w4JCRk5cqRcwK1fHe/TTz+Vf3LU1dV98sknQojExET9MogNDQ1xcXHyQRmp3W730aNHQ0NDd+7c2fbfFp49e1ZZWXnjxg15Ze6EhAQ9iGuadvny5ejo6AkTJpSVlblcrn379unrm51O59atW1tdTlEflLxlj1wTL/95QV4rxvuqHaWlpfIOPklJSVevXpUr5ufNm5eamhoRETF9+nT/J6f+uuwggAACvgWI1L59eBYBBPwVsNvtcnmrEML/1CLv0hfx9yZXZXT0elevXo2JienXr9/t27c7auP9uHekjoyMPHHihPvv7fjx4/LWevfu3fNuLxf+dnr3xFYl8tf6+voLFy4sWLDAarV+9tlnlZWVS5YsEULoIdXj8einlvv06XPr1q12j+Pngy6Xa//+/VarderUqa3+KvB9BE3Trly50q9fv969e589e1ZfJL1s2TIhxOLFi2WkvnPnzsCBA6Ojo71vVNnQ0CC/aPjNN9/ot4OR30bdunWrTLdutzs3N/fbb7+VX9D0Pjc/YcKEjRs3Xrx48enTp5qmlZWVTZw4cdu2bfJvkhs3bixatEiORdO0rKysDz/8sN2h3bhxo2/fvl9++aXsqsfjkf984X0pmIaGBrnse8CAAb/99tu0adOsVuuGDRuWLVtmsVh27Nghe+vbimcRQACBgASI1AFx0RgBBDoUkLc/lCnK/7OnVVVVclntvHnzfN8DRS7J9b04xLtzeqS2Wq2bN2+W36hzu93PLyQyffr0W7dudXSe2J9bvcgXevbs2fXr15cvX67fOmTAgAEpKSnPT4KuXLlSCLFw4UI9+Tmdzn/9619CiGHDhsnz5d69DWhfnta1WCyvvfZau7mzo6O53e4zZ87ExsYeOnRIj5X66eelS5c+X92h91Muw9AP1dDQIJeLrF69Wo/Uv/zyS2ho6IYNG+TVRVpaWtLT0+W9JL3zdKv9CRMmPM/lcXFx9+/fl8d/fjfyvLzOR79nAAAgAElEQVQ8/R158uRJTk5O2zPf8taVFy5csNlsesfkP194f29V/5OjT58+58+fX7Vq1bx5827dujVhwoSBAwfKm87o5ewggAACXSJApO4SRg6CAAKewsLCIUOGyPA0fvz4hw8fdoqiX4fO++LBepU8l1lSUiKTVmZmZlRUlH4vcb1ZRzv6soTRo0d7d0bTtObmZj29yfKmpqYTJ07k5+f7c/dEl8tVXFyckpIyatQoPSwOGzbsl19+kQFa/xqc91lq/YoZr7zyitp3CvWRulyulJQUi8Xy+uuvt7sm2+FwlJWVXbp06eTJk62uoOJ0Oh8+fKivV/F4PA0NDfLWJytWrGhsbMzLyxs6dGhYWJh+rQ/5unoz70idlpZmtVo///zzxsZG2UzTtFu3bn3wwQeHDx+22+3Pnj0rLS09d+7c9u3bP/nkk5iYGF1MCNG7d+8VK1acOHGiqqqq1TuiD7bTHfm3lvc3KT0eT3Z2dr9+/VavXl1XV3fkyJFLly4dO3YsPDx86dKl+h85nR6ZBggggID/AkRq/61oiQACvgQKCgoCjdT5+fnyBi76Fwe9X6CgoGDEiBHh4eEbN2602+0yUvt/llE/VTlmzBjvSO39Evp+UVHRqFGjwsLCNmzY8Pjx4127dgkhZs2a5X02VJ4iTU1NHTFihHcunDhx4pkzZ7yvK6dHau+z1E+fPpXn499+++2nT5/qL62w43K5fvzxRyFE37594//eFi1a9O67706cOLF///7et5yUV9cuLCz0EVhra2vljWlWrVr15MmT+Ph4IYS8kaR33xwOh1wfIr/UKJePywt4T5s2zc+T5U6nMy8vb8uWLcOHD/c2tFgsb7311rFjxwLN1pqmXbp0KSoqqtUi+8ePH69Zs+bBgwfybwa73f7ZZ59FRETod5Cpr69/vtpE/0vAe6TsI4AAAgoCRGoFNEoQQKAdgcrKymnTpsmcNHv2bN+rODwej91ul9+BmzRpUmlpadsjut3uixcvyms/Dxs2bNGiRSEhIYMHD87Pz2/buO0j+oLaVmep27aUq6jz8/Pl3bNjY2Nfe+01eQGKtl+XfH51C3kTQSHEqFGjjh071uo0sMfj0S+OERUVNWPGDHmrlmnTpsmb4IwaNaqjKwxqmnb37t09e/bs+nvbvn37d999t3z58rlz506ePHnw4MHyBoHeYdSf/d69ex8+fLijO78UFxdPmDBBCBEfH5+enh4dHd2/f//r16+3SuFOp1PeolwIMXjw4FmzZk2dOjUkJEQIERkZmZ6eHtA1NNxud2lp6c8//zxv3jx5EH0gsbGxM2fO/Pf9bd6eMmVKr169jh071qo/8n1sbm6W96ZptSLI5XLV1NToJXJ1eJ8+fbZu3ZqcnLxixYo333wzPDx87ty5xcXFerN25wYPIoAAAv4IEKn9UaINAgh0LqBp2o0bNxYsWPDRRx9duXLFd8BqamratGmTxWLp06fP5cuXO8o08hJp3t91GzFiRHFxcee98XieX7F48uTJQgh/IrU8YGlp6fTp0/VsFxcX1+4igWfPnh0+fHj9+vWtzmHrvaqqqvJ9Eb1XX31Vv6KcXiV3mpubf/rpp6ioKL0b7e6Eh4ePGTNm9uzZixYtio+PX7du3bZt21JTU48dO3b+/Pns7OzCwsKHDx/a7Xb9kh2tXkj+qmnaqVOn5D1uJk+ePGTIEO+LabQqycnJkReQbtUli8WyefNm3y/U6lDev9pstoyMjE8++aTVpbv1V5H3o2l3ktTU1MiLqwwYMOCXX34ZM2aMXuXnzjvvvNPpn3/evWUfAQQQaFeASN0uCw8igEA3CrS0tBw4cCA8PDwsLCwtLU3/nlxHL1lUVKTf7LCj1cNta10u1+HDh8PDw0ePHl1WVta2QbuPlJWVyYu+CSE2btzovea43fbtPlhcXCxvedi/f/+lS5d+//33KSkpx44du3TpUm5u7sOHD+vq6toNiPJobrf72rVro0ePHjFixMKFC9etW5eWlpaVlVVYWFheXl5bW9vu9/ba7Yk/Dz6/FLS8daXMoKtXr273Dwn9XP7atWvnzZsnzyLPmTPn+fU9rl27pgbl3T1N0/7666+UlBSZ2uVK8eTk5JycHB9hXdO0M2fOREVFDRo06Pz583JpSqswHRYWNmzYsDfeeEM/8z1nzpzFixd/8803W7ZsycrK6lpP70GxjwACPUeASN1z3mtGisCLIiDvBx4VFZWamuojLXl3Nz8/X34XMDExUb+8sXeDdvdramo+/fTTGTNmBHQd4vz8/H/84x8RERG+L+rX7ivKB91u9+nTp6Ojo1esWOG9xtpHiYFPaZp29uzZ6OjomTNnrl69+smTJwZ2xuPxPHz48Pr16/oteDrtTHV19fz584cMGVJQUFBbW5uWlrZ3794zZ878+eefVVVVnf7B1unxaYAAAgj4I0Ck9keJNggg0JUCmqbduXMnNzfXx5naVq+nadrzxQzTpk3zsUqkVYn89Xnestls/r+QvID0qVOn3nvvvUDvouLdgebm5iNHjpw5c+alOAPqcrkKCgpe0vUPmqaVlJScPn26o5Pr3u8L+wgggEA3CRCpuwmWwyKAQBcLaJpWVVXV0XfsuvbFWlpaqqqqXoo03LUD52gIIIAAAmoCRGo1N6oQQAABBBBAAAEEEPj/AkRqpgICCCCAAAIIIIAAAkEJEKmD4qMYAQQQQAABBBBAAAEiNXMAAQQQQAABBBBAAIGgBIjUQfFRjAACCCCAAAIIIIAAkZo5gAACCCCAAAIIIIBAUAJE6qD4KEYAAQQQQAABBBBAgEjNHEAAAQQQQAABBBBAICgBInVQfBQjgAACCCCAAAIIIECkZg4ggAACCCCAAAIIIBCUAJE6KD6KEUAAAQQQQAABBBAgUjMHEEAAAQQQQAABBBAISoBIHRQfxQgggAACCCCAAAIIEKmZAwgggAACCCCAAAIIBCVApA6Kj2IEEEAAAQQQQAABBIjUzAEEEEAAAQQQQAABBIISIFIHxUcxAggggAACCCCAAAJEauYAAggggAACCCCAAAJBCRCpg+KjGAEEEEAAAQQQQAABIjVzAAEEEEAAAQQQQACBoASI1EHxUYwAAggggAACCCCAAJGaOYAAAggggAACCCCAQFACROqg+ChGAAEEEEAAAQQQQOB/F6nv3bv31Vdf5eXl+Ua32+1JSUmrVq2qrKz03ZJnEUAAAQQQQAABBBB4EQS6N1K3tLQUFxfn5OScPHlyypQp0dHRWVlZPobd0tKyZ88eq9U6atSosrIyHy15CgEEEEAAAQQQQACBF0SgeyO1zWabNWuW+PfWaaTOz88fPny4EIJI/YLMD7qBAAIIIIAAAggg0KlA90Zq/Sz17t27w8PDfUfqurq6zz//XMZvInWn7xwNEEAAAQQQQAABBF4Qge6N1Pogs7Kyov/eOlr44Xa709PTIyIiiNQ6GjsIIIAAAggggAACL4XAixKpy8rKJk+ePGzYsMWLF1ssFs5SvxSzh04igAACCCCAAAIIeDyeFyJSNzc3r1+/PiwsLC0tbffu3URqpiYCCCCAAAIIIIDASyRgfKTWNC0zM7N3796fffaZ3W7ft2+f/5E6Ozs7ISGx3Z9CNgQQQAABBBBAAIEeJmBUCjc+Uj958mT27NlDhw7Nzc11uVxdFakTEhJ72BRiuAgggAACCCCAQE8X6KGR2ul07t69OywsbO/evS0tLYFG6o7U5Hnrjp7lcQQQQAABBBBAAAEEulDA4LPUubm5Q4cOnT9//tOnTz0eD5G6C99aDoUAAggggAACCCDwvxEwMlI3NTV99dVX/74PTPv/37Jli9PpDNSCs9SBitEeAQQQQAABBBBAQFnAyEjtdDrPnTu3c+fOHf/ekpOT58yZI4SIjo5OSkratWvXrVu33G53oMMjUgcqRnsEEEAAAQQQQAABZQEjI3XbTrPwo60JjyCAAAIIIIAAAgi84AJE6hf8DaJ7CCCAAAIIIIAAAi+6wP8iUrtcrkOHDoX+vR04cKClpaUjlYaGhnXr1gkhBg0adOfOnY6adfo4Cz86JaIBAggggAACCCCAQFcJdG+kttlss2bNavvFw0mTJpWXl3uPoaqqavr06a1aRkVFXbx4UdM075b+7BOp/VGiDQIIIIAAAggggECXCHRvpHY4HCdOnPD+AuKOHTt27tx59OjR+vp67wE0Njamp6e3arl3794HDx54N/Nzn0jtJxTNEEAAAQQQQAABBIIX6N5IHXz/1I5ApFZzowoBBBBAAAEEEEBAQcDMkdrFhgACCCCAAAIIINCTBBTScJeUmDlS17EhgAACCCCAAAII9CSBLsnHCgcxc6RuZEMAAQQQQAABBBDoSQIKabhLSswcqbsEiIMggAACCCCAAAIIIOBbgEjt24dnEUAAAQQQQAABBBDoRIBI3QkQTyOAAAIIIIAAAggg4FuASO3bh2cRQAABBBBAAAEEEOhEgEjdCRBPI4AAAggggAACCCDgW4BI7duHZxFAAAEEEEAAAQQQ6ESASN0JEE8jgAACCCCAAAIIIOBbgEjt24dnEUAAAQQQQAABBBDoRIBI3QkQTyOAAAIIIIAAAggg4FuASO3bh2cRQAABBBBAAAEEEOhEwMyR2smGAAIIIIAAAggg0JMEOkm+3fa0mSN1HRsCCCCAAAIIIIBATxLotszcyYHNHKmb2BBAAAEEEEAAAQR6kkAnybfbnjZzpO42NA6MAAIIIIAAAggggMB/BIjU/7FgDwEEEEAAAQQQQAABBQEitQIaJQgggAACCCCAAAII/EeASP0fC/YQQAABBBBAAAEEEFAQIFIroFGCAAIIIIAAAggggMB/BIjU/7FgDwEEEEAAAQQQ6MkCLS0taYZuV65ceUn9idQv6RtHtxFAAAEEEEAAgS4WIFIrgxKplekoRAABBBBAAAEETCVApFZ+O4nUynQUIoAAAggggAACphIgUiu/nURqZToKEUAAAQQQQAABUwkQqZXfTjNH6p50903GigACCCCAAAIIBCtQX19v6LcT0y5fvhzkGJQzcZCFZo7UdWwIIIAAAggggAACfgvY7fafDN0uXrzod2fbbxhkMlYuN3OkdrIhgAACCCCAAAII+C3gcDiMPUudmZnpd2fbb6iciYMsNHOkDpKGcgQQQAABBBBAoEcJsJZa+e0mUivTUYgAAggggAACCJhKgEit/HYSqZXpKEQAAQQQQAABBEwlQKRWfjuJ1Mp0FCKAAAIIIIAAAqYSIFIrv51EamU6ChFAAAEEEEAAAVMJEKmV304itTIdhQgggAACCCCAgKkEiNTKbyeRWpmOQgQQQAABBBBAwFQCRGrlt5NIrUxHIQIIIIAAAgggYCoBIrXy20mkVqajEAEEEEAAAQQQMJUAkVr57SRSK9NRiAACCCCAAAIImEqASK38dpo5UjeyIYAAAggggAACCPgtUFtb+5Oh26VLl/zubPsNlTNxkIVmjtR1bAgggAACCCCAAAJ+C9jtdkMT9U8XL170u7PtNwwyGSuXmzlSu9gQQAABBBBAAAEE/BZobm5OM3TLysryu7PtN1TOxEEWmjlSB0lDOQIIIIAAAggg0KMEWEut/HYTqZXpKEQAAQQQQAABBEwlQKRWfjuJ1Mp0FCKAAAIIIIAAAqYSIFIrv53/u0h97969r776Ki8vr21fNU0rKSnZunXrokWLli5dunXr1sLCQk3T2rb085GEhMSEhEQ/G9MMAQQQQAABBBBAwOPxEKmVp0H3RuqWlpbi4uKcnJyTJ09OmTIlOjo6KyurVV+dTufPP/8cHR0tvLbIyMiDBw+2tLS0auznr0RqP6FohgACCCCAAAII6AJEap0i0J3ujdQ2m23WrFl6VG4bqd1ud3p6emRk5OjRo0+dOmWz2XJyct59910hxMCBA3NycgIdj2xPpFZzowoBBBBAAAEEerIAkVr53e/eSK2fpd69e3d4eHjbSP3kyZM333zTYrHs27fP5XLJYeTk5AwYMEAIsWXLFqfTqTA2IrUCGiUIIIAAAggg0MMFiNTKE6B7I7XeraysrOi/t1YLP4qLi0eMGCGE+PTTT2tra2X7ysrKV199VQixatUqh8OhH8T/HSK1/1a0RAABBBBAAAEEpACRWnkmGBypKysrX3vtNSHEK6+88ujRIzmMioqKKVOmCCG+/fbb5uZmhbERqRXQKEEAAQQQQACBHi5ApFaeAAZHapfLdfPmzbVr116+fFku/NA07ebNm3379g0NDT18+LDb7VYYG5FaAY0SBBBAAAEEEOjhAkRq5QlgcKRu2+/6+vply5YJISZMmFBaWtq2gfcj2dnZMj23+99CNgQQQAABBBBAAAG/BfLz8/cbuv3+++9+d7b9ht5B8X+5/2JFarfbfeLEicjIyIiIiCNHjuhfWOxIhEjd/mziUQQQQAABBBBQEth28PbYxZcN/Dl+Plep411TRKTuKHN2+vgLFKk1TcvOzh4yZEhERMShQ4fUrvUhB8zCj07feBoggAACCCCAQFuBXy7+NX5JloE/d4r//9Ua2vbtf/AICz+UkV+gSJ2fnz927NioqKjDhw93en7a94CJ1L59eBYBBBBAAAEE2hUgUqcZul25cqXd9+XFf/BFidQlJSVTp07t06fPyZMng8zTHo+HSP3izzx6iAACCCCAwAsoQKQ2NFGnEak7+VB0dF1qWVZaWjp9+vSYmJhTp07JPO1yua5du3b8+PGGhoZODt3e00Tq9lR4DAEEEEAAAQQ6ESBSE6k7mSIdPG38WeqKioq33norNDR03759LS0tsp91dXULFy6cO3dudXV1Bz339TCR2pcOzyGAAAIIIIBABwJEaiJ1B1Ojk4cNjtSNjY2rV68WQqxbt06/UaLD4Thw4EBUVNQXX3yhP9jJOP77aSL1f3vwGwIIIIAAAgj4JUCkJlL7NVHaNPpfRGqXy3Xo0KHQv7cDBw7op6I1Tbt8+XJMTIzoYNuyZYvadT+I1G3eaB5AAAEEEEAAgc4FiNRE6s5nSXstujdS22y2WbNmtQ3MkyZNKi8v1zTtt99+CwsLa9tACBESEnLo0CHuntjeu8ZjCCCAAAIIINAtAkRqIrXaxOreSO1wOE6cOLFz584dXtvOnTuPHj1aX1+vaVpRUVFKSorXk//Z3bt3b0lJidqoOEut5kYVAggggAACPVyASE2kVvsIdG+kVutT8FVE6uANOQICCCCAAAI9UIBITaRWm/ZmjtQuNgQQQAABBBBAIBCBQ+cfGXjrxPFLsm4XVQfS3y5u29zcbGykzsrKCnJIaoE4+CozR+o6NgQQQAABBBBAIBCB/Sfvj4vLNPDnam5FIP3t4rZ2u/0nQ7eLFy8GOaTgw7HaEcwcqRvZEEAAAQQQQACBQATSTpcamKfHxWVez3scSH+7uG1tba2hifqnS5cuBTkktUAcfJWZI3XwOhwBAQQQQAABBHqUAGup0wzduCH5i/Vx4+uJL9b7QW8QQAABBBB4SQSI1IYm6jQi9Yv1QSFSv1jvB71BAAEEEEDgJREgUhOp1aYqCz/U3KhCAAEEEEAAARMKEKmJ1GrTmkit5kYVAggggAACCJhQgEhNpFab1kRqNTeqEEAAAQQQQMCEAkRqIrXatCZSq7lRhQACCCCAAAImFCBSE6nVpjWRWs2NKgQQQAABBBAwoQCRmkitNq2J1GpuVCGAAAIIIICACQWI1ERqtWlNpFZzowoBBBBAAAEETChApCZSq01rM0dqJxsCCCCAAAIIIBCIwMFzD8cvyTLwJ/vu00D628VtHQ6HsZE6MzMzyCGpBeLgq8wcqevYEEAAAQQQQACBQAT2n7w/Li7TwJ+ruRWB9LeL29rt9p8M3S5evBjkkIIPx2pHMHOkbmJDAAEEEEAAAQQCEThwpszAU9Tjl2TdzH8SSH+7uG19fb2xZ6kvX74c5JDUAnHwVWaO1MHrcAQEEEAAAQQQ6FECrKU2NlJfuXLlJZ1vROqX9I2j2wgggAACCCDQ9QJEaiK12qwiUqu5UYUAAggggAACJhQgUhOp1aY1kVrNjSoEEEAAAQQQMKEAkZpIrTatidRqblQhgAACCCCAgAkFiNREarVpTaRWc6MKAQQQQAABBEwo0MMjtaPZZewFT5L2F72ks4pI/ZK+cXQbAQQQQAABBLpegEhNpFabVURqNTeqEEAAAQQQQMCEAkRqIrXatCZSq7lRhQACCCCAAAImFCBSE6nVpjWRWs2NKgQQQAABBBAwoQCRmkitNq3NHKmDvKEl5QgggAACCCDQ0wR6+A3J7bWNxkbq1XsLgpxyaoE4+CozR+o6NgQQQAABBBBAIBCB/Sfvj4vLNPDnam5FIP3t4rZVthoDxz4uLjMxJS/IIQUfjtWOYOZI7WRDAAEEEEAAAQQCETh47qGxp2mz7z4NpL9d3La2vsnY4a/ZVxjkkNQCcfBVZo7UwetwBAQQQAABBBDoUQKspTY2UnNd6hfr45aQkJiQkPhi9YneIIAAAggggMALL0CkJlKrTVLOUqu5UYUAAggggAACJhQgUhOp1aY1kVrNjSoEEEAAAQQQMKEAkZpIrTatidRqblQhgAACCCCAgAkFiNREarVpTaRWc6MKAQQQQAABBEwoQKQmUqtNayK1mhtVCCCAAAIIIGBCASI1kVptWhOp1dyoQgABBBBAAAETChCpidRq05pIreZGFQIIIIAAAgiYUIBITaRWm9ZEajU3qhBAAAEEEEDAhAJEaiK12rQ2c6RuZEMAAQQQQAABBAIRSDtdOi4u08Cf63mPA+lvF7e1VdcbOPZxcZnf7MkPckhqgTj4KjNH6jo2BBBAAAEEEEAgEIH9J+8bmymv5lYE0t8ubltlqzF2+IkpeUEOKfhwrHYEM0dqFxsCCCCAAAIIIBCIwKHzj4xd+XC7qDqQ/nZx2/rGZ8YO/9vUu0EOSS0QB19l5kgdvA5HQAABBBBAAIEeJcBaamMjddL+opd0vhGpX9I3jm4jgAACCCCAQNcLEKmJ1Gqzikit5kYVAggggAACCJhQgEhNpFab1v+7SH3v3r2vvvoqLy+v3Y5WVFQcPHhw5cqViYmJGRkZtbW17Tbz88GEhMSEhEQ/G9MMAQQQQAABBBCQAkRqIrXaZ6F7I3VLS0txcXFOTs7JkyenTJkSHR2dlZXVtqP379+fPHmy8NrmzJlTUVHRtqWfjxCp/YSiGQIIIIAAAgh4CxCpidTe88H//e6N1DabbdasWXpUbjdS22y2+fPnCyFGjx6dkZFx5MiR2NhYIcTGjRubm5v9H4l3SyK1twb7CCCAAAIIIOCnAJGaSO3nVGnVrHsjtX6Wevfu3eHh4W0jtcvlOnjwYGhoaGRkZEZGhtvtbmlp2bt3r9VqHTx48J9//tmqu37+SqT2E4pmCCCAAAIIIOAtQKQmUnvPB//3uzdS6/3IysqK/ntrtfCjpqbm/fffF0LMnDnTZrPJ9n/++eegQYOEEMnJyS0tLfpB/N8hUvtvRUsEEEAAAQQQ0AWI1ERqfTIEtGNwpC4oKBgyZIgQIikpSV/mUVVVNWPGDCHE/Pnza2pqAhqPbEykVkCjBAEEEEAAAQSI1ERqtU+BkZFa07QLFy5ERkZaLJZ9+/a5XC45hoaGhs8++0wIMXHixEePHikMjEitgEYJAggggAACCBCpidRqnwIjI7Xb7T58+HBoaGhYWNjx48c1TZNjcDgc8fHxQoghQ4YUFBT4GFh2drZMz+3+t5ANAQQQQAABBBAIRGDbwdtjF1828Of4+dxA+tvFbf/ILTBw7GMXX16x9UaQQ/KRG7v1KSMjtcvlSktLs1qtERERp06d0iN1c3NzUlKSEKJ///45OTk+xk+kDnLaUY4AAggggAAC3gJEaiK1j+Tp46kXMVI/e/Zs/fr1/kTqjgbGwo+OZHgcAQQQQAABBHwIsPCDhR8+poePp4yM1PrCj/Dw8PT0dO+z1GvWrBFCxMbGdnS3RR9D8ng8RGrfPjyLAAIIIIAAAu0KEKmJ1O1OjE4fNDJSa5p2/vz5yMhIq9W6f/9+/euJjY2NS5cuFUKMHTv2wYMHnY6hbQMidVsTHkEAAQQQQACBTgWI1ETqTidJuw2MjNQejycvL09egtr7Ino2m23mzJlcRK/dN4wHEUAAAQQQQKD7BIjURGq12WVwpK6urm57q5f8/Hx5T3Ju9aL2plKFAAIIIIAAAmoCRGoitdrMMThSu93uY8eOhYeH6zckdzqdO3futFgs3JBc7R2lCgEEEEAAAQSUBYjURGq1yfO/iNQul+vQoUOhf28HDhxodY/x6upqeWOX0aNHX7ly5ffff+/fv7/FYtm6deuzZ8/URsVaajU3qhBAAAEEEOjhAkRqIrXaR6B7I7XNZps1a5Zos02aNKm8vFzvcWVl5UcffaS3slgsa9euraur0xsEukOkDlSM9ggggAACCCDg8XiI1ERqtQ9C90Zqh8Nx4sSJnTt37vDadu7cefTo0fr6eu8eNzc3nzt3Lj4+fvXq1bdu3dKv/uHdxv99IrX/VrREAAEEEEAAAV2ASE2k1idDQDvdG6kD6koXNiZSdyEmh0IAAQQQQKDnCBCpidRqs93MkdrFhgACCCCAAAIIBCJw6PwjYzPl7aLqQPrbxW3rG58ZO/xvU+8GOSS1QBx8lZkjdR0bAggggAACCCAQiMD+k/fHxWUa+HM1tyKQ/nZx2ypbjYFjHxeXmZiSF+SQgg/Hakcwc6RuZEMAAQQQQAABBAIRSDtdamymvJ73OJD+dnFbW3W9scP/Zk9+kENSC8TBV5k5UgevwxEQQAABBBBAoEcJsJba2IUfSfuLXtL5RqR+Sd84uo0AAggggAACXS9ApCZSq80qIrWaG1UIIIAAAgggYEIBIjWRWm1aE6nV3KhCAAEEEEAAARMKEKmJ1GrTmkit5kYVAggggJSsHUgAACAASURBVAACCJhQgEhNpFab1kRqNTeqEEAAAQQQQMCEAkRqIrXatCZSq7lRhQACCCCAAAImFCBSE6nVpjWRWs2NKgQQQAABBBAwoQCRmkitNq2J1GpuVCGAAAIIIICACQWI1ERqtWlNpFZzowoBBBBAAAEETChApCZSq01rM0dqJxsCCCCAAAIIIBCIwMFzD43NlNl3nwbS3y5uW1vfZOzw1+wrDHJIaoE4+CozR+o6NgQQQAABBBBAIBCB/Sfvj4vLNPDnam5FIP3t4rZVthoDxz4uLjMxJS/IIQUfjtWOYOZI3cSGAAIIIIAAAggEInDgTJmxp2lv5j8JpL9d3NZe22js8FfvLQhySGqBOPgqM0fq4HU4AgIIIIAAAgj0KAHWUhsbqZP2F72k841I/ZK+cXQbAQQQQAABBLpegEhNpFabVURqNTeqEEAAAQQQQMCEAkRqIrXatCZSq7lRhQACCCCAAAImFCBSE6nVpjWRWs2NKgQQQAABBBAwoQCRmkitNq2J1GpuVCGAAAIIIICACQWI1ERqtWlNpFZzowoBBBBAAAEETChApCZSq01rIrWaG1UIIIAAAgggYEIBIjWRWm1aE6nV3KhCAAEEEEAAARMKEKmJ1GrTmkit5kYVAggggAACCJhQgEhNpFab1maO1EHe0JJyBBBAAAEEEOhpAtyQ3NhIzQ3J1QJ9d1UlJCQmJCTWsSGAAAIIIIAAAoEI7D95f1xcpoE/V3MrAulvF7etstUYOPZxcZmJKXlBDqm7wmVnxzXzWWonGwIIIIAAAgggEIjAwXMPjT1Nm333aSD97eK2tfVNxg5/zb7CIIfUWfTtrufNHKm7y4zjIoAAAggggIBJBVhLbWykTtpf9JLOLCL1S/rG0W0EEEAAAQQQ6HoBIjWRWm1WEanV3KhCAAEEEEAAARMKEKmJ1GrTmkit5kYVAggggAACCJhQgEhNpFab1kRqNTeqEEAAAQQQQMCEAkRqIrXatCZSq7lRhQACCCCAAAImFCBSE6nVpjWRWs2NKgQQQAABBBAwoQCRmkitNq2J1GpuVCGAAAIIIICACQWI1ERqtWlNpFZzowoBBBBAAAEETChApCZSq01rIrWaG1UIIIAAAgggYEIBIjWRWm1amzlSN7IhgAACCCCAAAKBCKSdLh0Xl2ngz/W8x4H0t4vb2qrrDRz7uLjMb/bkBzkktUAcfJWZI3UdGwIIIIAAAgggEIjA/pP3jc2UV3MrAulvF7etstUYO/zElLwghxR8OFY7gpkjtYsNAQQQQAABBBAIRODQ+UfGrny4XVQdSH+7uG194zNjh/9t6t0gh6QWiIOvMnOkDl6HIyCAAAIIIIBAjxJgLbWxkTppf9FLOt+I1C/pG0e3EUAAAQQQQKDrBYjURGq1WUWkVnOjCgEEEEAAAQRMKECkJlKrTesXIlI7nc6srKx169YtXLhwyZIlycnJJSUlmqapDcnj8SQkJCYkJCqXU4gAAggggAACPVOASE2kVpv5xkdqu92+cuVK8d9br169jh075nK51EZFpFZzowoBBBBAAIEeLkCkJlKrfQQMjtROp3Pbtm0Wi2XkyJEZGRlPnz59+PDhxo0bw8LCBgwYcOvWLbVz1URqtdlAFQIIIIAAAj1cgEhNpFb7CBgcqcvKysaPHx8REXHy5Ek9PdfU1Hz88cdCiG+//ba5uVlhYERqBTRKEEAAAQQQQIBITaRW+xQYHKn/+OOPAQMG9O7d+/r16/oAWlpatm7dKoT4+OOP6+rq9Mf93yFS+29FSwQQQAABBBDQBYjURGp9MgS0Y3Ckvnfv3vDhw4UQ8fHxDQ0NsuvPnj3bsGHD88XVX3zxhcPhCGg8sjGRWgGNEgQQQAABBBAgUhOp1T4FBkfqhoaG+Ph4+dXETz/9VF7o4/79+xMmTIiKijp9+rS+GiSg4RGpA+KiMQIIIIAAAghIASI1kVrts2BwpPZ4PA8fPpw5c6ZM1VFRUatWrZo0aVJISEhycnKnC6mzs7Nlem73v4VsCCCAAAIIIIBAIALbDt4eu/iygT/Hz+cG0t8ubvtHboGBYx+7+PKKrTeCHJJaIA6+yvhIrWnatWvX+vXr530ZveXLl/uzippIHeS0oxwBBBBAAAEEvAWI1ERqtXhtfKQuLCwcO3ZsSEjIggULXn31VRmsrVbrtm3bOj1L3dGYWfjRkQyPI4AAAggggIAPARZ+sPDDx/Tw8ZTBkbrm39fLW7t2rcPhaG5uPnz4cN++fYUQ0dHRFy5cYC21jzePpxBAAAEEEECgawWI1ERqtRllZKTWNC0rKysmJmbYsGGFhYVyAHIdyKBBg4QQS5Ys0S8DEtDwOEsdEBeNEUAAAQQQQEAKEKmJ1GqfBSMjtcvlSklJsVgsc+fOra6u1gfgdDo3b94shJg2bVplZaX+uP87RGr/rWiJAAIIIIAAAroAkZpIrU+GgHaMjNQtLS3JyclCiA8++KC2tlbvt8vlSk1NtVqtU6ZMqaio0B/3f4dI7b8VLRFAAAEEEEBAFyBSE6n1yRDQjpGRWtO09PT08PDwMWPG3L9/X+93Q0PD8uXLhRDLli1j4YfOwg4CCCCAAAIIdLcAkZpIrTbHjIzUHo/HZrN9+OGHco3HxYsX6+vrnz59mpycHBERERMTc/HiRb6eqPa+UoUAAggggAACCgJEaiK1wrTxeDwGR2qPx1NTU7Nt27bIyEjv61JPnDjx2rVrLpdLbVQs/FBzowoBBBBAAIEeLkCkJlKrfQSMj9Qej0fTtEePHh04cGDFihXffffdpUuXGhsb1cYjq4jUwehRiwACCCCAQI8VIFITqdUm/wsRqdW67qOKSO0Dh6cQQAABBBBAoCMBIjWRuqO54ftxM0dqFxsCCCCAAAIIIBCIwKHzj4zNlLeLqgPpbxe3rW98Zuzwv029G+SQfAff7nvWzJG6jg0BBBBAAAEEEAhEYP/J++PiMg38uZpbEUh/u7htla3GwLGPi8tMTMkLckjdF5p9H9nMkbqRDQEEEEAAAQQQCEQg7XSpsZnyet7jQPrbxW1t1fXGDv+bPflBDsl38O2+Z80cqbtPjSMjgAACCCCAgCkFWEtt7MKPpP1FL+m8IlK/pG8c3UYAAQQQQACBrhcgUhOp1WYVkVrNjSoEEEAAAQQQMKEAkZpIrTatidRqblQhgAACCCCAgAkFiNREarVpTaRWc6MKAQQQQAABBEwoQKQmUqtNayK1mhtVCCCAAAIIIGBCASI1kVptWhOp1dyoQgABBBBAAAETChCpidRq05pIreZGFQIIIIAAAgiYUIBITaRWm9ZEajU3qhBAAAEEEEDAhAJEaiK12rQmUqu5UYUAAggggAACJhQgUhOp1aa1mSO1kw0BBBBAAAEEEAhE4OC5h8Zmyuy7TwPpbxe3ra1vMnb4a/YVBjkktUAcfJWZI3UdGwIIIIAAAgggEIjA/pP3x8VlGvhzNbcikP52cdsqW42BYx8Xl5mYkhfkkIIPx2pHMHOkbmJDAAEEEEAAAQQCEThwpszY07Q3858E0t8ubmuvbTR2+Kv3FgQ5JLVAHHyVmSN18DocAQEEEEAAAQR6lABrqY2N1En7i17S+UakfknfOLqNAAIIIIAAAl0vQKQmUqvNKiK1mhtVCCCAAAIIIGBCASI1kVptWhOp1dyoQgABBBBAAAETChCpidRq05pIreZGFQIIIIAAAgiYUIBITaRWm9ZEajU3qhBAAAEEEEDAhAJEaiK12rQmUqu5UYUAAggggAACJhQgUhOp1aY1kVrNjSoEEEAAAQQQMKEAkZpIrTatidRqblQhgAACCCCAgAkFiNREarVpTaRWc6MKAQQQQAABBEwoQKQmUqtNazNH6iBvaEk5AggggAACCPQ0AW5Ibmyk5obkaoG+u6oSEhITEhLr2BBAAAEEEEAAgUAE9p+8Py4u08Cfq7kVgfS3i9tW2WoMHPu4uMzElLwgh9Rd4bKz45r5LLWTDQEEEEAAAQQQCETg4LmHxp6mzb77NJD+dnHb2vomY4e/Zl9hkEPqLPp21/NmjtTdZcZxEUAAAQQQQMCkAqylNjZSJ+0veklnFpH6JX3j6DYCCCCAAAIIdL0AkZpIrTariNRqblQhgAACCCCAgAkFiNREarVpTaRWc6MKAQQQQAABBEwoQKQmUqtNayK1mhtVCCCAAAIIIGBCASI1kVptWhOp1dyoQgABBBBAAAETChCpidRq05pIreZGFQIIIIAAAgiYUIBITaRWm9ZEajU3qhBAAAEEEEDAhAJEaiK12rQmUqu5UYUAAggggAACJhQgUhOp1aY1kVrNjSoEEEAAAQQQMKEAkZpIrTatzRypG9kQQAABBBBAAIFABNJOl46LyzTw53re40D628VtbdX1Bo59XFzmN3vygxySWiAOvsrMkbqODQEEEEAAAQQQCERg/8n7xmbKq7kVgfS3i9tW2WqMHX5iSl6QQwo+HKsdwcyR2sWGAAIIIIAAAggEInDo/CNjVz7cLqoOpL9d3La+8Zmxw/829W6QQ1ILxMFXmTlSB6/DERBAAAEEEECgRwmwltrYSJ20v+glnW9E6pf0jaPbCCCAAAIIIND1AkRqIrXarCJSq7lRhQACCCCAAAImFCBSE6nVpvWLEqk1TausrExLS1u2bFl8fPyFCxecTqfakDweT0JCYkJConI5hQgggAACCCDQMwWI1ERqtZn/QkTqpqamvXv3RkVFiX9vFotl48aNDodDbVREajU3qhBAAAEEEOjhAkRqIrXaR8D4SN3c3PzDDz9Yrdbhw4efO3eupqZm06ZNQoiYmJjMzExN0xQGRqRWQKMEAQQQQAABBIjURGq1T4HBkVrTtKysrN69e/fv3//69euaprlcrpSUFKvV2qdPn5s3b6qNikit5kYVAggggAACPVyASE2kVvsIGBypHQ7Hl19+KYRYsGBBXV2dHIPD4cjKysrLy3O5XGqjIlKruVGFAAIIIIBADxcgUhOp1T4CBkfq8vLySZMmCSE2bdoUzPcRWw2eSN0KhF8RQAABBBBAwB8BIjWR2p950raNwZH61q1bffr0sVqtqamphYWFW7duXbp06fbt2//444+Wlpa23fXzESK1n1A0QwABBBBAAAFvASI1kdp7Pvi/b2Sk1jQtIyMjPDxcCDF48GCr1frvC3783/9Xr17d0NDgeyTZ2dkyPbf730I2BBBAAAEEEEAgEIFtB2+PXXzZwJ/j53MD6W8Xt/0jt8DAsY9dfHnF1htBDsl3dOy+Z42M1G63+5dffgkNDZVJeujQodu2bUtPT//www+FEKGhoQcPHvS9nJpIHeS0oxwBBBBAAAEEvAWI1ERqtdhtZKR2uVw//fSTPDk9fvz4e/fuyTHY7fZ58+YJIebNm1ddXa0wMBZ+KKBRggACCCCAAAIs/GDhh9qnwMhI7Xa7f/7555C/t+f3TdRPSLe0tCQnJwshhg8frufsgIZHpA6Ii8YIIIAAAgggIAWI1ERqtc+CkZFa07T09PSwsLDw8PCMjAz9ri5ut/vAgQMhISH9+/fPyclRGBiRWgGNEgQQQAABBBAgUhOp1T4FRkZqj8dz48aN3r17W63W/fv362epXS5Xamqq1WodNGhQbm6uwsCI1ApolCCAAAIIIIAAkZpIrfYpMDhSP3r0SF6XOj4+3uFwyDG0tLT88MMPQojRo0eXlpYqDIxIrYBGCQIIIIAAAggQqYnUap8CgyN1c3PzmjVr5LLp/Px8OYa6urqFCxcKIRYuXKjfUjGg4RGpA+KiMQIIIIAAAghIASI1kVrts2BwpPZ4PEVFRaNHjxZCvPnmm/n5+Y8fP961a1dkZGR0dPTZs2f1BdYBDY9IHRAXjRFAAAEEEEBAChCpidRqnwXjI7WmaTdu3Bg/frz3fV569+597Ngx5VuUE6nVZgNVCCCAAAII9HABIjWRWu0jYHyklv1uamq6cOFCYmLiokWLNm3aVFhYqHZ+Wh6NSK02G6hCAAEEEECghwsQqYnUah+BFyVSq/W+oyoidUcyPI4AAggggAACPgSI1ERqH9PDx1NmjtQuNgQQQAABBBBAIBCBQ+cfGZspbxdVB9LfLm5b3/jM2OF/m3o3yCH5SL3d+pSZI3UdGwIIIIAAAgggEIjA/pP3x8VlGvhzNbcikP52cdsqW42BYx8Xl5mYkhfkkLo1N/s4uJkjdSMbAggggAACCCAQiEDa6VJjM+X1vMeB9LeL29qq640d/jd78oMcko/U261PmTlSdyscB0cAAQQQQAAB8wmwltrYhR9J+4te0klFpH5J3zi6jQACCCCAAAJdL0CkJlKrzSoitZobVQgggAACCCBgQgEiNZFabVoTqdXcqEIAAQQQQAABEwoQqYnUatOaSK3mRhUCCCCAAAIImFCASE2kVpvWRGo1N6oQQAABBBBAwIQCRGoitdq0JlKruVGFAAIIIIAAAiYUIFITqdWmNZFazY0qBBBAAAEEEDChAJGaSK02rYnUam5UIYAAAggggIAJBYjURGq1aU2kVnOjCgEEEEAAAQRMKECkJlKrTWszR2onGwIIIIAAAgggEIjAwXMPjc2U2XefBtLfLm5bW99k7PDX7CsMckhqgTj4KjNH6jo2BBBAAAEEEEAgEIH9J++Pi8s08OdqbkUg/e3itlW2GgPHPi4uMzElL8ghBR+O1Y5g5kjdxIYAAggggAACCAQicOBMmbGnaW/mPwmkv13c1l7baOzwV+8tCHJIaoE4+CozR+rgdTgCAggggAACCPQoAdZSGxupk/YXvaTzjUj9kr5xdBsBBBBAAAEEul6ASE2kVptVRGo1N6oQQAABBBBAwIQCRGoitdq0JlKruVGFAAIIIIAAAiYUIFITqdWmNZFazY0qBBBAAAEEEDChAJGaSK02rYnUam5UIYAAAggggIAJBYjURGq1aU2kVnOjCgEEEEAAAQRMKECkJlKrTWsitZobVQgggAACCCBgQgEiNZFabVoTqdXcqEIAAQQQQAABEwoQqYnUatOaSK3mRhUCCCCAAAIImFCASE2kVpvWZo7UQd7QknIEEEAAAQQQ6GkC3JDc2EjNDcnVAn13VSUkJCYkJNaxIYAAAggggAACgQjsP3l/XFymgT9XcysC6W8Xt62y1Rg49nFxmYkpeUEOqbvCZWfHNfNZaicbAggggAACCCAQiMDBcw+NPU2bffdpIP3t4ra19U3GDn/NvsIgh9RZ9O2u580cqbvLjOMigAACCCCAgEkFWEttbKRO2l/0ks4sIvVL+sbRbQQQQAABBBDoegEiNZFabVYRqdXcqEIAAQQQQAABEwoQqYnUatOaSK3mRhUCCCCAAAIImFCASE2kVpvWRGo1N6oQQAABBBBAwIQCRGoitdq0JlKruVGFAAIIIIAAAiYUIFITqdWmNZFazY0qBBBAAAEEEDChAJGaSK02rYnUam5UIYAAAggggIAJBYjURGq1aU2kVnOjCgEEEEAAAQRMKECkJlKrTWsitZobVQgggAACCCBgQgEiNZFabVqbOVI3siGAAAIIIIAAAoEIpJ0uHReXaeDP9bzHgfS3i9vaqusNHPu4uMxv9uQHOSS1QBx8lZkjdR0bAggggAACCCAQiMD+k/eNzZRXcysC6W8Xt62y1Rg7/MSUvCCHFHw4VjuCmSO1iw0BBBBAAAEEEAhE4ND5R8aufLhdVB1If7u4bX3jM2OH/23q3SCHpBaIg68yc6QOXocjIIAAAggggECPEmAttbGROml/0Us634jUL+kbR7cRQAABBBBAoOsFiNREarVZRaRWc6MKAQQQQAABBEwoQKQmUqtN6xcuUtvt9qSkpFWrVlVWVqoNyePxJCQkJiQkKpdTiAACCCCAAAI9U4BITaRWm/kvVqRuaWnZs2eP1WodNWpUWVmZ2pCI1MpuFCKAAAIIINDDBYjURGq1j8CLFanz8/OHDx8uhCBSq72dVCGAAAIIIIBAMAJEaiK12vx5gSJ1XV3d559/Lv7eiNRqbydVCCCAAAIIIBCMAJGaSK02f16USO12u9PT0yMiIojUam8kVQgggAACCCAQvACRmkitNotelEhdVlY2efLkYcOGLV682GKxcJZa7e2kCgEEEEAAAQSCESBSE6nV5s8LEambm5vXr18fFhaWlpa2e/duIrXae0kVAggggAACCAQpQKQmUqtNIeMjtaZpmZmZvXv3/uyzz+x2+759+/yP1NnZ2fJ6ee3+t5ANAQQQQAABBBAIRGDbwdtjF1828Of4+dxA+tvFbf/ILTBw7GMXX16x9UaQQ1ILxMFXGR+pnzx5Mnv27KFDh+bm5rpcLiJ1kDOJcgSCF7h48eJ+Q7ebN28GPwqOgAACCCgIEKmJ1Grx2uBI7XQ6d+/eHRYWtnfv3paWlkAjdUdj5lYvHcnwOAL+CBQWFqYZulVVVfnTT9oggAACXS7Awg8WfqhNKoMjdW5u7tChQ+fPn//06VOPx0OkVnsXqUKgawWI1F3rydEQQOAlEiBSE6nVpquRkbqpqemrr76SV83r6L9btmxxOp2Bjo2z1IGK0R4BbwEitbcG+wgg0KMEiNREarUJb2Skdjqd586d27lz545/b8nJyXPmzBFCREdHJyUl7dq169atW263O9CxEakDFaM9At4CRGpvDfYRQKBHCRCpidRqE97ISN22xyz8aGvCIwj87wWI1P97c14RAQReEAEiNZFabSoSqdXcqELAzAJEajO/u4wNAQR8ChCpidQ+J0iHT75YkbqhoWHdunVCiEGDBt25c6fDXnf2BAs/OhPieQR8CRCpfenwHAIImFqASE2kVpvgL0qkrqqqmj59eqsvKUZFRV28eFHTtEDHRqQOVIz2CHgLEKm9NdhHAIEeJUCkJlKrTfgXJVI3Njamp6d7f1Vxx44de/fuffDggcLAiNQKaJQgoAsQqXUKdhD4f+x9aUwT2/v/vOq7vukLEl40TZo0xBBCDCEQiAECEYJcBKOCkR1EFBW9uGDxuqCyibjggsimqCAqiiIoIuKKIltlL5dNQBARylZKKe2/X8//zp1fN2uncLz6TMy9w+k8Z8555nM+z2fOPHMGPPC7eQAkNUhqwzD/s0hqw1qvzQoktTbPQDl4QB8PgKTWx0twDHgAPPBLegAkNUhqw4D9K0tqGWzgAfCAQR5oa2vD+vHEwqGhIYMaDkbgAfAAeICuB4qeD+DVlI2d43T7QMN+amYOb/dP5AtpNP9/poYJYvpWv7KknoQNPAAeMMgDAoHgJtatt7fXoIaDEXgAPAAeoOuBgifdf8S8wfjvXfMQ3T7QsB8ZFWHs+x8xbxLyWmk0/3+m9MWxYTX8ypJ6BjbwAHjAIA80NTVhVdQ3P378aFDDwQg8AB4AD9D1QOHTXrya8n3rZ7p9oGE/Oj6Ft/uJ19poNP9/poYJYvpWv7Kkpu8dqAE88Ht6AHKpf8/rDr0GD4AHFAoF5FLjTfxIKej8j+IQJPV/9MJBs8EDi+gBkNSL6FyoGjwAHvi5PQCSGiS1YQgFSW2Y38AKPPArewAk9a98daFv4AHwgE4PgKQGSa0TIFp/BEmt1TXwA3jgt/UASOrf9tJDx8ED4AGQ1CCpDRsFIKkN8xtYgQd+ZQ+ApP6Vry70DTwAHtDpAZDUIKl1AkTrjyCptboGfgAP/LYeAEn921566Dh4ADwAkhoktWGjACS1YX4DK/DAr+wBkNS/8tWFvoEHwAM6PQCSGiS1ToBo/REktVbXwA/ggd/WAyCpf9tLDx0HD4AHQFKDpDZsFICkNsxvYAUe+JU9AJL6V7660DfwAHhApwdAUoOk1gkQrT+CpNbqGvgBPPDbegAk9W976aHj4AHwAEhqkNSGjYJfWVJLYQMPgAcM8kBra2sh1u3Tp08GNRyMwAPgAfAAXQ/cqerHqykbhF/p9oGG/cTULN7uJ9/ooNH8/5kaJojpW/3KknoSNvAAeMAgDwgEgptYt97eXoMaDkbgAfAAeICuBwqedP8R8wbjv3fNQ3T7QMN+ZFSEse9/xLxJyGul0fz/mdIXx4bV8CtL6lnYwAPgAYM80NzcjHWSunBgYMCghoMReAA8AB6g64FblX14p2nr2r7Q7QMN+7GJGbzdT7reTqP5/zM1TBDTt/qVJTV970AN4IHf0wOQS/17XnfoNXgAPKBQKCCXGq+kTino/I/iECT1f/TCQbPBA4voAZDUi+hcqBo8AB74uT0AkhoktWEIBUltmN/ACjzwK3sAJPWvfHWhb+AB8IBOD4CkBkmtEyBafwRJrdU18AN44Lf1AEjq3/bSQ8fBA+ABkNQgqQ0bBSCpDfMbWIEHfmUPgKT+la8u9A08AB7Q6QGQ1CCpdQJE648gqbW65nf+oalrAu+IuvvyE17/R5xswOiBiJMNeLsPEQXj1ffcX4397ZyUgk68HhBLZBiHABAgECBe/Dd1TWDEv1giw9t97ARosPNBUhvsul/ZECIKRBS8lAoRBS+/gKTGi3+YU8CLf5hTwIt/kNR48a969vj4hPj4BNVS+FtvD4CkBkmNl1JBUus9WBflQJDUePEPknpRYK13pSCp8eIfJLXeUF2SA0FS03QzSGqQ1HgpFSQ1zSFM0xwkNV78g6SmCWCa5iCp8eIfJDVNABvZHCQ1TYeCpAZJjZdSQVLTHMI0zUFS48U/SGqaAKZpDpIaL/5BUtMEsJHNkaSm+UHL39m8ru0L3hF1q7IPr/83n6jH6IHNJ+rxdh++x4vx6nvur6b/PV6a+Em63o7XA2MTMzS7QMccCBAIEC/+4YPkdMYvfJB8UST1JGyGeuBd89AfMW8w/it40m1o241jF55ch7H74cl1xumGobUUPOnG2P0/Yt68ax4ytO1GsBsZFeHtfkJeqxG6QaOKhLxWvB4YGRXRaD5dUyBAIEC8+AcCpDmGjawp9a7uV17xQwqboR5oEH7FcqS0bAAAIABJREFUe49+p6rf0LYbx25zCtZZ6pR643TD0FruVPXjBUCD8KuhbTeC3cTULN7uJ9/oMEI3aFSRfKMDrwcmpmZpNJ+uKRAgECBe/AMB0hzDemtgIx/4K0tqI7vqd6oOcqkhlxpvRIFcarx8A7nUePEPudR48Q+51HjxD7nUePGvenZ4PVHVIz/4N0hqkNR4KRUk9Q8OWSMfDpIaL/5BUhsZ0D9YHUhqvPgHSf2DgF3kw0FS03QwSGqQ1HgpFSQ1zSFM0xwkNV78g6SmCWCa5iCp8eIfJDVNABvZHCQ1TYeCpAZJjZdSQVLTHMI0zUFS48U/SGqaAKZpDpIaL/5BUtMEsJHNQVLTdChIapDUeCkVJDXNIUzTHCQ1XvyDpKYJYJrmIKnx4h8kNU0AG9kcJDVNh4KkBkmNl1JBUtMcwjTNQVLjxT9IapoApmkOkhov/kFS0wSwkc1BUtN0KEhqkNR4KRUkNc0hTNMcJDVe/IOkpglgmuYgqfHiHyQ1TQAb2RwkNU2HgqQGSY2XUkFS0xzCNM1BUuPFP0hqmgCmaQ6SGi/+QVLTBLCRzUFS03QoSGqQ1HgpFSQ1zSFM0xwkNV78g6SmCWCa5iCp8eIfJDVNABvZHCQ1TYeCpAZJjZdSQVLTHMI0zUFS48U/SGqaAKZpDpIaL/5BUtMEsJHNkaSegc1QD7xv/fxHzBuM/wqf9hraduPYhZ+ow9j98BN1xumGobUUPu3F2P0/Yt68b/1saNuNYDc6PoW3+4nX2ozQDRpVJF5rw+uB0fEpGs2nawoECASIF/9AgDTHsJE1pd7V/cofJJ+EzVAPvGsewksoBU+6DW27cezCk7FK6uQ643TD0FoKnnTjBcC75iFD224Eu5FREd7uJ+S1GqEbNKpIyGvF64GRURGN5tM1BQIEAsSLfyBAmmNYbw1s5AN/ZUktg81QDzR2juN97lP0fMDQthvHLiKlAaMHIlIajNMNQ2spej6Asfue+6sbO8cNbbsR7KZm5vB2/0S+0AjdoFHFiXwhXg9MzczRaD5dUyBAIEC8+AcCpDmGjayU9a7uV5bUejsBDlT1AORSQy413ogCudSqY3Jp/4Zcarz4h1zqpcW76tkglxov/iGXWhWReP+G1xNp+h8kNUhqvJQKkprmEKZpDpIaL/5BUtMEME1zkNR48Q+SmiaAjWwOkpqmQ0FSg6TGS6kgqWkOYZrmIKnx4h8kNU0A0zQHSY0X/yCpaQFYLpf39PRcunRpz549fD7/0qVLHR0dcrnc4EpBUhvsOmQIkhokNV5KBUlNcwjTNAdJjRf/IKlpApimOUhqvPgHSW04gKVS6e3bt83MzAjKxuVy79y5Mz8/b1i9IKkN8xtpBZIaJDVeSgVJTQ5GLDsgqfHiHyQ1FtiTJwVJjRf/IKlJKP7YzsLCQllZGZfLdXd3r6ioGB0dFQgE4eHhBEHY2toKBIIfq+6fo0FS/+MJA/8PkhokNV5KBUlt4NA1khlIarz4B0ltJCAbWA1Iarz4B0ltIHC/fPkSGBjIYDBu3Lghk8lQLQKBwMbGhiCI9PR0qVRqQNUgqQ1wGtUEJDVIaryUCpKaOh6Xfh8kNV78g6ReesxTzwiSGi/+QVJT0fgD+11dXS4uLgRB7N69e2JiAlkODw/7+PgQBHHkyBGxWPwD1f1zKEjqfzxh4P9BUoOkxkupIKkNHLpGMgNJjRf/IKmNBGQDqwFJjRf/IKkNBO7w8LCvry9BEF5eXgMDA6iWoaGhdevWEQRx4sQJiURiQNUgqQ1wGtUEJDVIaryUCpKaOh6Xfh8kNV78g6ReesxTzwiSGi/+QVJT0fgD+zKZrK6u7uTJk69fv0aJH3K5vK6ubvny5SYmJsXFxQsLCz9Q3T+HgqT+xxMG/h8kNUhqvJQKktrAoWskM5DUePEPktpIQDawGpDUePEPktpA4KqbTU1NHThwgCCI1atX9/b2qh9ALWloaEDqWeN/O2Az1AOlz5s99r3G+C/jTqOhbTeOXXD8W4zdD45/a5xuGFpLxp1GjN332Pe69HmzoW03gt2H5na83T94qdYI3aBRxcFLtXg98KG5nUbz6ZoCAQIB4sU/ECDNMUwViku5/3N9kHxhYeHRo0dcLpfD4dy/f598YVGbRxZPUkNEwUsoIKlpEgpNc5DUePEPkhokNc0hTNMcJDVeBgBJTRPA2kTjYpf/RJJaLpc3NDQ4ODhwOJyioiLD1vpA/qKf+AHPPfE+94Hnnos98nXXD8898eIf+3NPIEC8AAAC1E1Qi/0rECBe/GMnQIMB9hNJ6ra2Ng8PDx6PV1xc/N35ad0dBkmt2z/f/RVyqSGXGi+lQi71dwfpoh4Akhov/kFSLyq8v1s5SGq8+AdJ/V2IfueAnp6e9evXW1paPnnyhKaeVigUIKm/4+7v/QySGiQ1XkoFSf29Mbq4v4Okxot/kNSLi+/v1Q6SGi/+QVJ/D6E6f+/t7fX391+2bFlFRQXS0zKZrKamprS0dHp6Wqep5h9BUmv2i96lIKlBUuOlVJDUeg/WRTkQJDVe/IOkXhRY610pSGq8+AdJrTdU1Q4cGhoKCQkxMTG5cePG/Pw8+n1ycjI6OjoiImJ8fFzN4vsFIKm/7yOdR4CkBkmNl1JBUuscoIv+I0hqvPgHSb3oENd5ApDUePEPklonPLX/ODMzk5SURBBEamoq+aFEsVh869YtHo93+PBhslB7HRp+AUmtwSk/UgSSGiQ1XkoFSf0j49X4x4Kkxot/kNTGx/SP1AiSGi/+QVL/CFr/OVYul79+/XrZsmWEli09Pd2wdT9AUv/jYwP/D5IaJDVeSgVJbeDQNZIZSGq8+AdJbSQgG1gNSGq8+AdJbQhw5XL5w4cPTU1NNSpqFotVVFSE6+uJEFHwjiiIKIaMKOPZQETBi3/sEQUIEC8AgACNR2aG1AQEiBf/2AnQENB8s8G5iJ5cLu/s7MzLy8vWtF2/fr2np8ewjsEstWF+I61glhpmqfFSKsxSk4MRyw5Iarz4B0mNBfbkSUFS48U/SGoSij/FDkhqmpcBJDVIaryUCpKa5hCmaQ6SGi/+QVLTBDBNc5DUePEPkpomgI1sjiS1jMZ2Il+IF1JTM3M0mk/XtLFzHG/3i54P0O0DPfuIlAaMHohIaaDXfLrWRc8HMHbfc391Y+c43T7QsJ+amcPb/RP5QhrNN4IpECBeAAABGgHENKoAAsSLf/oEaGRNqXd1OBM/9G7kDx+IJPUkjS0hr/WPmDcY/42Mimg0n67pu+YhjH3/I+ZNwZNuun2gZx+eXIfRA+HJdfSaT9e64Ek3xu7/EfPmXfMQ3T7QsB8ZFeHtfkJeK43mG8EUCBAvAIAAjQBiGlUAAeLFP30C/GHVaCSDX1lSz9DYEq+14YXU6PgUjebTNX3f+hlv9wuf9tLtAz378BNYJfWJOnrNp2td+LQXLwDet36m2wca9qPjU3i7n3itjUbzjWAKBIgXAECARgAxjSqAAPHinz4BGkkh/3A1v7Kk/mFnUAwglRDvcx9IJaSAEcMupBLixT/2VEIgQLwAAALEwHqUUwIB4sU/dgKkYOHHdkFSa/YXRBS8IwoiimZcLlUpRBS8+MceUYAA8QIACHCpqE7zeYAA8eIfOwFqhoUepSCpNTsJIgreEQURRTMul6oUIgpe/GOPKECAeAEABLhUVKf5PECAePGPnQA1w0KPUpDUmp0EEQXviIKIohmXS1UKEQUv/rFHFCBAvAAAAlwqqtN8HiBAvPjHToCaYaFHKUhqzU6CiIJ3REFE0YzLpSqFiIIX/9gjChAgXgAAAS4V1Wk+DxAgXvxjJ0DNsNCjFCS1ZidBRME7oiCiaMblUpVCRMGLf+wRBQgQLwCAAJeK6jSfBwgQL/6xE6BmWOhRCpJas5MgouAdURBRNONyqUohouDFP/aIAgSIFwBAgEtFdZrPAwSIF//YCVAzLPQoBUmt2UkQUfCOKIgomnG5VKUQUfDiH3tEAQLECwAgwKWiOs3nAQLEi3/sBKgZFnqUgqTW7CSIKHhHFEQUzbhcqlKIKHjxjz2iAAHiBQAQ4FJRnebzAAHixT92AtQMCz1KQVJrdhJEFLwjCiKKZlwuVSlEFLz4xx5RgADxAgAIcKmoTvN5gADx4h87AWqGhR6lv7KkltLYkm904IXUxNQsjebTNW0QfsXb/TtV/XT7QM9+c0o9Rg9sTqmn13y61neq+jF233N/dYPwK90+0LCfmJrF2/3kGx00mm8EUyBAvAAAAjQCiGlUAQSIF//0CVAP9bsoh/zKknqSxpaQ14r3G/cjoyIazadr+q55CG/3C5500+0DPfvw5DqMHghPrqPXfLrWBU+6MXb/j5g375qH6PaBhv3IqAhv9xPyWmk03wimQIB4AQAEaAQQ06gCCBAv/ukT4KLoZT0q/ZUl9SyNLel6O967tLGJGRrNp2ta1/YFb/dvVfbR7QM9+80nsM5Sn6in13y61rcq+/ACoK7tC90+0LAfm5jB2/2k6+00mm8EUyBAvAAAAjQCiGlUAQSIF//0CVAP9bsoh/zKkpqOwyCVEO+IglRCOuilbwuphHjxjz2VEAgQLwCAAOmTGJ0agADx4h87ARoMHpDUml0HEQXviIKIohmXS1UKEQUv/rFHFCBAvAAAAlwqqtN8HiBAvPjHToCaYaFHKUhqzU6CiIJ3REFE0YzLpSqFiIIX/9gjChAgXgAAAS4V1Wk+DxAgXvxjJ0DNsNCjFCS1ZidBRME7oiCiaMblUpVCRMGLf+wRBQgQLwCAAJeK6jSfBwgQL/6xE6BmWOhRCpJas5MgouAdURBRNONyqUohouDFP/aIAgSIFwBAgEtFdZrPAwSIF//YCVAzLPQoBUmt2UkQUfCOKIgomnG5VKUQUfDiH3tEAQLECwAgwKWiOs3nAQLEi3/sBKgZFnqUgqTW7CSIKHhHFEQUzbhcqlKIKHjxjz2iAAHiBQAQ4FJRnebzAAHixT92AtQMCz1KQVJrdhJEFLwjCiKKZlwuVSlEFLz4xx5RgADxAgAIcKmoTvN5gADx4h87AWqGhR6lIKk1OwkiCt4RBRFFMy6XqhQiCl78Y48oQIB4AQAEuFRUp/k8QIB48Y+dADXDQo9SkNSanQQRBe+IgoiiGZdLVQoRBS/+sUcUIEC8AAACXCqq03weIEC8+MdOgJphoUfpryypaXyOdBa+x4t3RMH3eOmgl74tfI8XL/7pf4+XJgaAAPECAAiQJoBpmgMB4sU/fQLUQ/0uyiG/sqSepLEl5LX+EfMG47+RURGN5tM1fdc8hLHvf8S8KXjSTbcP9OzDk+sweiA8uY5e8+laFzzpxtj9P2LevGseotsHGvYjoyK83U/Ia6XRfCOYAgHiBQAQoBFATKMKIEC8+KdPgIuil/Wo9FeW1FIaW/KNDrx3aRNTszSaT9e0QfgVb/fvVPXT7QM9+80p9Rg9sDmlnl7z6VrfqerH2H3P/dUNwq90+0DDfmJqFm/3k2900Gi+EUyBAPECAAjQCCCmUQUQIF780ydAPdTvohzyK0tqOg6DVEK8IwpSCemgl74tpBLixT/2VEIgQLwAAAKkT2J0agACxIt/7ARoMHhAUmt2HUQUvCMKIopmXC5VKUQUvPjHHlGAAPECAAhwqahO83mAAPHiHzsBaoaFHqUgqTU7CSIK3hEFEUUzLpeqFCIKXvxjjyhAgHgBAAS4VFSn+TxAgHjxj50ANcNCj1KQ1JqdBBEF74iCiKIZl0tVChEFL/6xRxQgQLwAAAJcKqrTfB4gQLz4x06AmmGhRylIas1OgoiCd0RBRNGMy6UqhYiCF//YIwoQIF4AAAEuFdVpPg8QIF78YydAzbDQoxQktWYnQUTBO6IgomjG5VKVQkTBi3/sEQUIEC8AgACXiuo0nwcIEC/+sROgZljoUQqSWrOTIKLgHVEQUTTjcqlKIaLgxT/2iAIEiBcAQIBLRXWazwMEiBf/2AlQMyz0KAVJrdlJEFHwjiiIKJpxuVSlEFHw4h97RAECxAsAIMClojrN5wECxIt/7ASoGRZ6lIKk1uwkiCh4RxREFM24XKpSiCh48Y89ogAB4gUAEOBSUZ3m8wAB4sU/dgLUDAs9SkFSa3YSRBS8IwoiimZcLlUpRBS8+MceUYAA8QIACHCpqE7zeYAA8eIfOwFqhoUepb+ypJ6hsSVea8P7jfvR8Skazadr+r71M97uFz7tpdsHevbhJ+oweiD8RB295tO1Lnzai7H7f8S8ed/6mW4faNiPjk/h7X7itTYazTeCKRAgXgAAARoBxDSqAALEi3/6BKiH+l2UQ35lST1JY0vIa8ULqZFREY3m0zV91zyEt/sFT7rp9oGefXgyVkmdXEev+XStC5504wXAu+Yhun2gYT8yKsLb/YS8VhrNN4IpECBeAAABGgHENKoAAsSLf/oEuCh6WY9Kf2VJLaOxncgX4n3wMTUzR6P5dE0bO8fxdr/o+QDdPtCzj0hpwOiBiJQGes2na130fABj9z33Vzd2jtPtAw37qZk5vN0/kS+k0XwjmAIB4gUAEKARQEyjCiBAvPinT4B6qN9FOeRXltR0HAaphHhHFKQS0kEvfVtIJcSLf+yphECAeAEABEifxOjUAASIF//YCdBg8ICk1uw6iCh4RxREFM24XKpSiCh48Y89ogAB4gUAEOBSUZ3m8wAB4sU/dgLUDAs9SkFSa3YSRBS8IwoiimZcLlUpRBS8+MceUYAA8QIACHCpqE7zeYAA8eIfOwFqhoUepT+LpB4aGrpz586hQ4cSEhLKy8snJib0aLzWQ+LjE+LjE7T+rMcPEFHwjiiIKHqAdBEPgYiCF//YIwoQIF4AAAEuIrvpUTUQIF78YydAPTCi+ZCfQlJ3d3evXbuWoGybN28eGhrS3GQ9SkFS6+EkXYc0dU3gHVEQUXRdnsX/DSIKXvxjjyggqfECAAhw8UlO1xmAAPHiHzsB6gKHzt/wS+rR0dFt27YRBOHu7l5eXn7//n17e3uCINLS0iQSic7Ga/0RJLVW1+j3A0jqiJNYV/w42aDfhVqsoyCi/OYRBSQ1XgCApF4satOvXiBAvPgHSa0fTtWOkslkd+7cMTEx4XK55eXlCwsL8/Pz169fZzKZK1asaGlpUbPQqwAktV5u0n4QSGqQ1HgptamLVuqXdmjr9YtYIsPbfewRBSQ1XgCApNZroC7aQSCp8eIfOwEajCzMs9QikSgyMpIgiKCgoNHRUdSNlpYWOzs7giAyMzPn5+cN6BtIagOcRjUBSQ2SGi+lgqSmjsel3wdJjRf/IKmXHvPUM4Kkxot/kNRUNP7Afnt7u4ODA0EQKSkpZJrHyMhIQEAAQRDbtm0TiUQ/UN0/h4Kk/scTBv4fJDVIaryUCpLawKFrJDOQ1HjxD5LaSEA2sBqQ1HjxD5LaEODK5fIXL15wuVwGg3Hjxg2ZTIZqmZ6e3rt3L0EQ3t7eAwMDBlQNktoAp1FNQFKDpMZLqSCpqeNx6fdBUuPFP0jqpcc89YwgqfHiHyQ1FY367i8sLBQXF5uYmJiampaWlsrlcmQpFovj4uIIgnBwcGhvb9dRXUNDA1LPRv9vAP+OW/RzjP+OHk82eqf0r3DvkfMY++4W/XzrX1f0b+1iHOm99xFGD3jvfbQYndK/zq1/XcHYfbfo53uPnNe/tUY/8ujxZLzdD+DfMXqnfqhCIEC8AAAC/CG4Gv1gIEC8+KdPgDp046L+hDOXWiaTFRYWMplMDodTUVFBSmqJRJKSkkIQhLW1tUAg0NH/xZPURh+iUCF4ADwAHgAPgAfAA+AB8MBie0CHblzUn35GST03N3fq1Cl9JPWiusbgyjs7O+PjEwoLbxlcw3/d8OzZtPj4hKmpqf96Rwxr/8uXL+PjE16+fGmY+X/dampqKj4+4ezZtP96Rwxuf2Hhrfj4hM7OToNr+E8bAgECAQIBAgH+ngSIU1KTiR9sNrusrIw6S52cnEwQhL29fWtr638uukBEgYgCEQUiyu8ZURQKBRAgECAQIBDg70mAOCW1XC5//vw5l8tlMpkFBQXk64kzMzN8Pp8gCA8Pj48fP4Kk/s95ACIKRBSIKL9nRAFJrVAogACBAIEAf08CxCmpFQpFa2srWoKauoje6OhoUFAQnUX08GpQmKSBiAIRBSLK7xlRQFKDpIbMN8h8+20z3zBL6vHxcfVPvbS1taFvkhv8qReQ1Hg9AJIaJDVIapDUeFkI49mBAIEAgQB/TwLELKkXFhZKSkrYbDb5QXKpVJqTk8NgMOh8kBwjmcIkDUzSwCQNTNL8tpM0QIBAgECAQIC/LQFiltQKhWJ8fBx92MXd3f3t27ePHz+2trZmMBiXLl2am5vDK44NOzskfsAkDUzSwCTN7zlJA5IaJDVIapDUIKkNU4/GsRoeHo6KiiL+2RgMxsmTJycnJ41T+5LX0tnZ2fBtW/Iz/ywnRN3/bRfRQ91vaGj4Wa7H0rZjamoK8N/Q0PA7S2oAQENDAxDg0hLPz3I2IEA0/H9PAsQ/S43GgUQiqaqqiouLS0pKqq+vJ1f/+FlGCbQDPAAeAA+AB8AD4AHwAHgAPKDFAz+LpNbSPCgGD4AHwAPgAfAAeAA8AB4AD/zsHgBJ/bNfIWgfeAA8AB4AD4AHwAPgAfDAT+4BkNQ/+QWC5oEHwAPgAfAAeAA8AB4AD/zsHgBJ/bNfIWgfeAA8AB4AD4AHwAPgAfDAT+4BkNQ/+QWC5oEHwAPgAfAAeAA8AB4AD/zsHgBJ/bNfIWgfeAA8AB4AD4AHwAPgAfDAT+4BkNQ/+QWC5oEHwAPgAfAAeAA8AB4AD/zsHgBJ/bNfIWgfeAA8AB4AD4AHwAPgAfDAT+4BkNSLcoHm5uakUqmxqp79thmrNqhHtwfm5+e7urpmZmZ0H6byq0wmE4vFKoW/1Z9SqZTqgYWFBbFYLJfL6TthenraiKNJR3tmZ2cXFhZ0HKD7p4WFBYlEonLM9PT04OCgUfwgl8s/f/4sEolUTmGsP+fn59Xbr2flCwsLX79+pZrL5XI6ABgZGREKhf+tb36JxeKxsTG5XG5E8Ovp/5/wMLlc/uXLl+npaaO0zbgh9btNmpubGx0dNYwN5ubmOjs7qWT43dP9kgfMzc3Nzs7+UNfEYvF/a8ir9w4ktbpP6JbMzs4mJSX9+eefg4ODP1rXyMhIUVHR0NAQaTgyMrJ58+acnJylURXkeRUKRV9f39mzZ/v7+6mFKvtyuVwgEMTHx/f19aGfBgcHnz17Rg2uCoVCLpfX1NTk5+frL1XlcnlTU9O5c+fGx8epJx0bG0tLS6utrTWM76hVKRSK/v7+Y8eOvXv3jqytq6vL1dX10KFDY2NjKgdr+1MsFqekpGzZsmVkZETbMb92+czMzNGjR5OTk8lA0tjYuH79+oqKCpoUKZFIkpKSXFxcCgsL9QePAd4eHBz08/NLSkr6+vWrAeZyubyqqmr9+vXv3r0jBbRcLn/8+LGDg0N5eTlNPygUiomJiejo6LS0NJXBZUBr1U1kMll+fr6np+fr168NaOrg4KCvr++VK1cQTSFvuLi43Lt3zwDikkql2dnZpqamqampKsNfveWLXSKVSoVC4Xfvi2QyWVZWVnBw8KdPn16+fOnp6VlZWWmAJxe7O2T9crl8YmJifHychCv5E3UH3chNTExQC/XZl0qlFy9e3LlzpwFxUKX+qampI0eOnDhxwlgCnVq/WCzu6uqan58nC+VyeUVFhbOzc3V1tW7nkCbUHaFQ6OzsHBkZ2dPTQy3XvS8Wi7OysjIzM9VZbmFhYWBggKRWhULx6dOnN2/ezM3N6a5zCX6dnJwsLS1Vv8QSiSQ1NXXXrl36x8SPHz8GBQVdu3aNyhiDg4O7du168eKFARdiCbqvfgqQ1Oo+US2Ry+XDw8NdXV168qNMJsvLy2MwGH5+fqTQVK1Uy9/19fW2traFhYXkuTo6OpydndeuXatb2mqp7/vFaGYFCUqxWNzd3V1dXV1cXJyTkxMSEkIQRFBQ0KdPn7RVJJfL379/b2lpuWnTpqGhIblcXlpa6uLi8u7du5GRka6urqamJoFAUF1dHRwczGAwTp8+TaUGhUIxNTX19OnT4eFh8hSTk5MjIyNyufzZs2fW1talpaXDw8NCofDDhw+NjY1ZWVmmpqbm5uavX7+mP8w+fvy4du1aLpdbWFiIRvL4+PjmzZsJgrh48SJ1bJPNU99B9MFgMHJzc6nUrH6kxhKRSJSSknLz5s3FCBjqZ5TL5a9evTp8+HB7ezt9B6L6JRLJiRMnzMzMqqqqUJ09PT1ubm5Ux6q3hCyRSCRCoVDjlIZMJisoKGAymX/99dei+md6ejo2NpYgiKSkJH1OpD4LKxQKnZycLC0tSQEtl8ufP3/O5XI5HM7Nmze1hUC5XD44OEiNPfPz80KhcHJyknSRQqEYGxsLDw+3sbH58OEDtdwo+3K5/N27d+bm5itWrGhoaPhRYCh5w9XV1cHBobW1FbWnq6vLzc2NxWJlZWUZcA8wMjISHh5OEISXl1dTU9OPtkeHT2ZmZtra2gQCQW1t7atXr8rLy4uLi/Pz8zMyMo4dO7Zjx46wsLDQ0NCgoCBPT08zMzPi2+bp6al7vExOTu7Zs4fFYt2+fVsoFLq6upqamubm5iJUi0SipqYmFerT0Uj00+zs7LNnz3TQ73dr0HGASCTatm1bbGysbrSPjo5u3bo1PDxc/wAkEokePXr0+fPn4uJiExOT9evXd3R06LiCMpns2bNn169fRzhZWFgYHBykYmZubu7MmTNMJvPSpUvUch290/MnRIa2trY3b94k2X5hYeHOnTssFmv37t0qY1Cfaufn5/Pz801MTLy9vdvb2/UxUSgUSDYwmcz4+HjyBmZ6erq7u/vp06dubm4xMTE1NTUCgaChoSExMZHJZKakpCzeMyt1WPzdAAAgAElEQVS5XC4SiTo6OoqKihoaGsgpJ5Xu9PX1eXh4eHl5tba2Ui+xSCSKiopCdKon7EdGRvz8/KytrRsbG8mztLe3Ozg4BAUFURUC+etPuAOS+v9fFBJAAoGgpqamuLj43LlzsbGxAQEBy5YtIwjCwsLi6dOn2oBFvbRyubykpMTU1DQzM7O/v7+lpQXxRXp6+tWrV3WIbJlMdvXqVQaDsWvXLjSSxWLxyZMnCYKIj49vb2+nBl3qGfXfRwo4Li5OKBSiATA7O5uXl8dms1HkUP/vuXPndLDYwsLC3bt3TUxMAgMDa2pqZDJZbW2tubm5ej0EQSxbtqyiokLFhwKBwMHBobi4GJVLpdKsrKzVq1cj7rC2ttZY1Y4dO/SfRdbhH9LniYmJqJtIUltbWwsEAh2G1J/6+/vXrFljY2Oj20Qmk2kU3GKxOD09ncVieXt7v3nzhrybop6C3JfL5RKJhEpe5E967sjl8tbWVk9PT1NT01OnTn358kW3ofTbpvuYvr4+Ly+vFStWkGpvdHQ0JCTEzs6uvr7+u61ta2tzcHDw9/dXF08o0rBYrMLCQhXk6G7Sj/4qlUrT09M5HM6zZ8/IBo+Njb19+1aj1hcKhb6+vvn5+eToUN5D+vv7Ozo6fvjwAdUgk8lyc3MZDEZUVBQZJtUbJhKJdu/ebWtrW1JSgmrr6enx8vLatWvX58+fyeObm5vt7Oy2b9++SHG0q6vLxcVl27ZtZFMXFhY+fPjQ29tLOoRsDHVHLpeXl5dzOJzQ0FDyCZtIJNqyZYuDg4P+qkKlzvr6ejs7OzabnZub29DQ8Pr169LS0tzc3B07dty+fZt0O9VKn32pVFpSUmJhYaGRWFQK2Wy2EtVr1qwJDg4+deqUticYcrm8urrawsKCzWYfOnSopaUlODjYyclJIBAsLCzIZLIbN264ubl1dnbqaKFcLp+cnOzr62toaCgpKbl69WpiYiKXy3Vzc1MfFzrq0fOn2dnZhIQEe3v727dvl5SUXLlyJTU1lc/nh4SErFy5UiUisNnsoqIi3dSEzjs6OhoXF0cQxP79+4uKirhcbmRkpFAo1DF45+fns7KyXFxcEFT6+vrWr19/6tQpUuuTUebQoUNkoZ7d/O5hk5OTfD6fxWKdO3duampKoVBMTk7u3r2by+U+f/5cN/LJyiUSCTVRZHp6+siRIwRBHDx4UE9BqVAo3rx5w+PxwsLC0tPTkepQQSP1TyaTSTaYbIb+O3K5fGpq6uPHjwKB4OXLlyUlJXl5ecePH4+IiAgICHB0dGQwGOTpzM3NHz16pPHqi0SirVu3EgRx/Phx6vx6W1ubvb29ra1tbW3t+Pj46Ojod9uGTDZs2ECqZ5JYgoOD+/r65HJ5c3NzXV2dDix99yyLfcDvJalnZ2crKipycnIyMzNTU1MPHDiwZcsWb2/v5cuXk+hR32EymXZ2duvWrduxY0dtbS05xlCSRm5u7qVLl1JTU+Pi4vbs2RMRERESEuLs7KxeDypxdnbW9mj106dPPj4+HA7nyZMn8m9bVVWVmZlZaGjohw8fNm3a5OrqWlNTQxNPXV1dGzZs4PF4mZmZSJXKZLIXL164uLj4+PicOHHi2rVr5eXlr1692rRpE4/He/XqFdlldThOTU3t27ePx+OR05MCgcDa2trGxmb//v2pqamZmZnZ2dmnTp1avny5v7+/+l1Bf38/kncqJBIaGlpVVWVvb89gMBwdHSMiIhITEzMzM/fv34+mK8hJBfVW6V8il8vLysrYbPaFCxdQhUNDQ+vWrbOwsDh69GhYWJilpSU5faKxWvR8kyCIPXv2TExMiMXi2trakpISgUAQERHx8uVL5L2FhYXS0tI///zz48eP6vWIxeJLly6xWCwOh1NeXk51uEQiGRgYqK2tLS4uTk1N3bx5s6OjI1XJqdf23RK5XN7e3u7p6UkQxObNm6k3J+jeUjk38OzZM+VzfD6fv3r16vDw8K6uLmqrqKeQyWTXr19nMpnHjh0jWVUkEkVGRtrZ2ZWVlb169aqgoGDPnj3a8kBkMtm9e/c4HI65uXlJSQn1yqInAGjCr6am5u7du8nJyZGRkdXV1TQHArULCoVCKpWmpaVxOJyHDx/29PTU19eXlpZmZmZ6e3snJiaqpx9MT08nJiYSBLFz587e3l6FQjE6OhocHOzq6vr8+fPy8vK+vr6xsTEUb6jz9yrnRX8ODg5GREQQBLFu3boPHz7IZLInT57weLyAgIDu7m7UvPPnz6vDQ2NthhWiWfYtW7b8/fff7e3tL168KCwsPHTokIeHx9u3b3V4e2Zm5siRI6ampnfv3iXj7uTk5I4dO1xdXZFzFAqFxgzjubm569evW1tbr1u3ztvb28HBgZwY1kahqJzP51PvN36oyyipbO/evQ4ODjY2NkePHs3MzNy1axdBENbW1vfu3fvy5cvw8DCfz09JSdFnnvLz58+hoaEMBiMjI0MsFqMpdk9Pz/7+/oWFhZqaGkdHRy6XS71bUygU09PTeXl5ysHl7+9vZ2enrb9//vknGqGTk5Nv377VR53o4w2ZTJadna3tpAwGw8nJKSAgwNfX18TEJCQk5LvnnZubKy0tXbFiBUEQPB7v6NGj586d43A4aWlp1BGt3jZEwqampiYmJqSSc3BwEAgETU1NZWVlYrH40aNHbDY7KyuLBJh6PQaXNDU1OTg48Hg8dIHq6uqsrKy2bNkyOjo6PT3d19dH0prGU6CkKS8vLzRU0TFdXV1eXl6ZmZloGqWvry8uLk4gEKiw6Ozs7PXr10tLS+fn52tqaszNzePj43NyckxNTdesWcNisSwsLNzc3BgMxrp161xcXJydnU+cOLF69ervhmaNTUVJmI2NjRs3btR26ZVTeAwGw8rKytPTMywsLDY29syZMzdv3iSVLrXm6enp6OhoHo9Hzc1A95BMJlPJANXV1cePH/f29m5ublbpO7Ue8q4pIyNjbGxscHBQJpNNTk7GxMQQBOHn57dr167AwEAul2tpafns2TMddEStdun3fy9JjfKD0WN9bXhis9nx8fFv3rzp6OgYGRnRwQVyufzvv//euXOntqrs7OyCg4MDAgJWrlx58uTJZ8+eoQc3HR0d6lMsMpns1q1bLBYrPDwckVd/f//69etXrlyJHqnU1tba29ubmZmVlJTQpJW+vr6goCAUP0pKSubn56empvbv379x40Yy/evr169KUevo6CgUCnXgsqWlxc7OzsLC4tixY9HR0Z6enunp6TY2NjExMePj41++fOno6Hjw4EF2dvaKFSuioqLU49PQ0ND69etVfGhlZVVbW4smL6lWKBuEy+VevnxZ44yvjqain+RyeVdX140bN3K/bTk5OTExMSSPqzQD/WliYpKXl6ftqb1AIEDh0N3dHXEfQRAsFis2Ntbe3n7lypWxsbFbtmwJDAzk8XgEQcTExKg7ASXAHD58mMFg7Nu37/z584cPH960aZOtra3GJhEEQUdSIGJ99+6dlZWVk5NTWlpaSkrK7t2716xZY2JiovGMNjY22gRxV1fXqlWr7OzsUlJSIiIiPD09UU/V69GBXrFYfOrUKYIgIiIiLl26FBoaqqMeBN2qqioDiFUikTx79iw3NzcnJyc9PT0pKSkmJmbz5s1BQUFWVlbqbUYlkZGR6vmCQ0NDaBxt2bIlOzs7LS3N3t6erMHV1fXy5cuWlpbOzs5WVlZr167V8YRKoVAMDQ2Fhoay2ezHjx+jrJLk5GSCIIKDg798+TI4OLhu3brIyEjq/c930a5+gFwu7+3tzc/Pz83NzcrKOnPmzOHDh1G2w5o1a7QNBDMzs/v372sjw+bmZnt7++3bt1PbNjY2tnnz5mXLlqWmpqanp8fFxW3cuNHGxqasrExl5Eql0qKiIg6Hg1y3fPnyNWvWKG9FDh8+nJaWlv1tS0pKCgwMzM/Pr6ysfPv2bWNjo3KW4bv5zerdp5bI5fI3b94sW7YsMjLy8uXL6FKSlw/tsFis/Px83XxLQnfNmjUIJKjvnp6enZ2dN27c4HK5BEEcPXqU6h/UksnJydOnTzOZTIIgTExM1qxZw+fzMzIyysrK3r9/jx5ekRloSKU9evRIhzShdlD3PplStX79+pSUlMzMzMuXL2/cuJHD4WRkZKDUO4VCMTg4iCbpdUhqiURSWVnp6+tLEAS6tUaX5uXLl1wul2y/tvag7Asej2diYuLl5YVu9ZXvI01OTqanp5ubmz9//hxJ6itXrui+FtpOoVI+OTkpEonm5+cnJib6+vrq6+t3797t6OiIJoAQElgsFrouBEHozglGuddcLjc5OfnFixfl5eX37t27evVqWFjYvn37cnJysrOzIyMjCYJwd3f/+++/qY1BOS0o2+rt27fLli1LSEhISkoiCMLMzIzJZK5Zs6awsNDa2jo0NDQ4OJggCF9fXz8/PzMzs7dv31Kr+qF9dDvn6+u7c+fOxMTEjIyMy5cv+/v7czicH4osMzMz+/fvt7GxaWpqIhswPDysLtnj4uJ0PF6bnJz8888/ydHH4XDu3Lnz8uVL9adJGzZsaGlpMcoQIBtsxJ3fTlKjxzolJSWFhYXV1dVCofDTp0+Tk5MLCwsolYfL5ebl5aEHQPo4WiqVvnr16sCBA1FRUQkJCRkZGdnZ2WjCg8QHQRCOjo41NTU6cPDp0ydfX18ej/f06VO5XP7161d081dWVjY5Odne3l5SUoJuBpSTebdu3dIW3vRpMyLKsLAwgiDi4uLEYvH8/HxGRgaTyczLy0MBr7e3V/mkcuPGjTqmgsgJWmpPdewfP35c/Rn68PCwr68vOYE9Pj6unNx1dnb++++/hUKho6NjdHQ0+bBPLpdXVlZyOBw60xUymezVq1fu7u7UplpYWAQGBoaGhq5atYogiJCQkIcPH9bV1X38+FG9zaSTJycn9+/fr1LPtm3bkpOTT58+rS6IHRwc2traSHOVnY8fP+7fv//+/fvq9xirVq3KzMwsLy9vbGzs7+/X/2Giyimof87PzxcWFp46dSo9Pd3U1JTaCzabHRsbW1RU9OrVq46OjtHRUW2RTCKRnDp1islk5ubmikSi1NRUqiyzsrIqLCxsbGysrKxsbW1Fj0e1QXdkZGTLli1nzpwZGRlJSkqi1sPj8fbt23fhwoXbt29XVFQIBAI6HkATkNT+quy7uLikpaU9evSooaHh48ePJPyo3kO3JbW1tc7OzjY2NmQNJiYm/v7+sbGxqampHh4ePB7vyZMnZWVlXC43NTVVB5bQ1Km/v39DQwM6kVAodHFxiY2NnZycvHv3LpvNPn36dElJSXx8/Pbt21WSF1XapuPP+fn58vJyapvJxqMdU1PTqKiowsLC7159hUIhkUiUupwgCA8PDxT13d3dSS2iUrOtrW14ePiLFy9U4ITSZz9//oy0NZ/Pz8nJQTe9ubm52dnZW7ZsIQhCeeOn7Vro6K+On9AjMpVGUv88cuSI7jNKpdJr166hG1GSxFDWO5vNdnV1JQhi69at6MmDxpbIZLLBwUH11wTJBMKcnBzZt+3mzZsmJiYnTpxQn5HRWLPuQjSVyGazS0pKUGCSyWSZmZnoQc21a9ceP348Pz+vW1J//fpVGUlRNwmC4HK5ZGySy+V6SmqFQoEmaE+ePCmRSBoaGpYvX56QkDA+Po4eBB04cKCoqIjNZhtLUk9PT2dmZqokt1CvO7nP5XJXr14dFBSUkJCgIxSinA3SSuMOi8W6efOmCvIVCkVLS8uKFSs2bdpUVFRkZma2d+/eNWvWrFq1qrW19ezZswRBoPQn5U1pZ2dnYGDgqlWr3NzcLCwsamtrdV/iH/p1fn7+8uXLSANoo2j1CmdmZvh8/ooVK8iXKGQyWVFRkYmJia+vL5/P9/DwIAgiMTFR9ziqq6ujJgvY29sHBgY6ODgQBBEQEJCbm3v58mVzc3NnZ2fyROqN+RlKfkdJrc3viAcdHR07Ojq0HaOtfHh4GJE+dSzxeDwfHx9PT08fH58zZ84UFxdru0tDb7gzGIywsLCenp6SkhJUm4mJiaWlJbVOtO/s7Kw7LU9bO6nlw8PD27dv9/X1LSoqEolEGRkZpqampaWliF5ra2stLCz279+vYyT09PR4eHg4OjoWFRU1NTUNDAwg9e/o6Ghqarpx40Y+n3/q1KnMzMx9+/YxGIxLly6pTFApFIrh4WEfHx8yGo2OjgYFBa1aterjx4/o1YSIiIjGxsaKior09HQ+n793714TExMUZqjd+dH96enp1tZWgUBQVFRkbm5+6NAhtOZXaWmpqanp0aNH37x58/Dhw8zMTD6fv3LlSg8PD5XXthYWFsrKyjgczvbt2/v6+tA9CZlAgjpiY2NTXFw8MDDQ09OzevVqHx8fjY/PUONR0oVEIhkcHHz8+HF3d/fs7GxdXZ2lpaWNjU1JSYm2mfIf7Tt5/Nzc3NjY2NzcnPIeo6am5uvXr9PT04cPHyYIYu/evd99IUkul9fX16M8n8bGRoFAkJmZefHixZycnIsXLzo5OVGhu3z58ocPH+oga1RbZWXl6OjoxMRET0/PyMiIMtnD0tLS09MzNzc3KSkpICCAw+H4+/tTn7GS3dF/B81V5+XllZSU3L17d+XKldSmEgQRFRWl40qRJ5qfn0co2rdvX35+vte3LT8/v7i4uLW11c3NLTw8XHl7PDU1FRsby+Vyy8rKdMysLywstLe3Nzc35+fnx8fHb9myRdt8P0EQ9vb2r1+/1lEb2Uj1Hblc3tfXV1BQUFhYWF5efuzYMeoNDEEQ5ubmpaWl6uFfvSr0lGb58uV3795Fs2gEQaxcuXLDhg1sNtvW1ragoKChoeHz58/61IaeeqlcC/Qnk8m8cOECnVsp9cajaRQWi7Vp0yYl7A8fPrxz504nJycXF5ekpCQ2m52RkaFOWWQ9MplM+SY3h8OxtLQ0MTEJCgpCCbW1tbVIZTo6OlZUVCDMy2SympqaFy9e6BgCZM0oT+bevXumpqbXr1+XSqVPnjwxNzfn8XikZqUebMC+TCZDNwMXLlxoaGh4+fJlQUEBeiUdOZzNZl+9erWrq0vjLLVMJnvw4AHC5+rVq/O/bWw2e8OGDQMDA+iGU39JjcKNiqT+9OlTeHg4ehP98ePHRpTUyL319fV79+5VhtrDhw9fvHgxIyNj7dq1PB6vuLh4cHDw06dPjY2N6hlfGl2NJpi9vLxu3LhRWlpaVVWFnkgLvm01NTXoiY3GJUQkEklKSgq6IUEC2sTEJCsrSyqVDgwMbNiwAT3AOXjwYEtLCzlUraysdL+6o7GdOgqlUumlS5fU05O0mUgkEplMRkrquro6oVA4Nzc3PDwcEBDg6enZ3d2tzNX29vYODg4eGhrq6elJTU0lH4NTq0WLpHG53Nu3b6Ppm4WFhUePHqHHOwwGIzo6esOGDaamprdv39aHRqiVL/E+SOp/HU5HUs/MzCQnJ/v4+MTFxW3bti0gICDs2xYYGLhs2TIWi3Xp0iUdE1Stra2Ojo4EQezYsWN4eBjdmyJe43A44eHhe/bsiYyMrKioUOqe7du3b9q0SduLMv/2R4+93t7e1atXI/WQlJRE3viSEyRKFastAEil0suXL5uamt65c4eKcvSS09atW8n7h4WFBZQpe+fOHXUFgGapnZ2dr127dvr06TVr1piamq5bt+7Tp0/KRDptc2m5ubnUk+rR138PWVhYmJycHBgYaG9vFwgExcXFlpaWy5YtCwwMDAkJoT67VwntVlZWT548Ic87ODjo4+OjnNvu7++XSqXnzp0jCGLNmjXbtm2zs7Pz9/d3/bahXFKUqLpp0ybqw1+kbFSeqI6Ojh49epR8jxOJjL/++ssoYmJqakplxaiFhYXy8vLjx4+j9xTR2h0kEv71mqa9iYmJffv2EQRha2vb1NQkEokSEhJUnLZixYqIiIhDhw6dPXv26tWrFRUVKs/rR0ZG+vv70Y2cXC4fGBhQ6huVSqh/crlcLy+v1NRUFb9pauD3ywYHB7ds2cJgMOLi4qKiolB+C0rgCwwM1BgA1Cvt6elZtWpVQECAra0tg8Ew+ZYSamVlhaaoUdcEAoGtra2rqyv1dT2JRNLZ2UmddEQrcFH7i/YdHR0TExOvX79eWVnZ0tIyMjJC4lC9PfqXSKXS4uJiMzMzZ2fnjIwMc3Pzo0ePlpSUWFlZcTic76bskzdgVlZWjY2N6IUn1B2UWW5vb4+Ee3x8/L59+77rz87OTmdnZy8vrxcvXiA5IhAIlGl4GzZssLe3N/oEFbrvVfG2iYmJm5ubtbU1k8nUkfUhk8keP36MeKO8vNzBwSEgIEC5fmhMTAyapHd1daVOfEgkEuUqk3v37tUxSUG9cAsLC2hqNj8///nz59bW1paWltqSr6iGeu6jVf/YbHZqauqaNWuoTrC3t4+KikpOTr569aryQiBVpDLc5HJ5Y2Oj8tkpWuiJnJM+ffo0uvMnS76b+KFQKN6/f29ubs7n86uqqvh8PoPBSEhIaGpqcnFxCQ0N/fLlS3l5OWpqTU3NjRs3Dh069ODBAzpTDCoZgLm5uRkZGd7e3gRBWFpakmlImzdv1mdm4fXr1yh9XGOUJ7Motc3W1dfXW1lZkY8K0Z1YRUVFaGgo9bqgfTs7OzMzM+X7XS0tLXpea30Ok0qlFy5c4HK51KxobYbonc64uLj+/v6YmJgVK1ZkZWWZm5vv3r07OTkZpW3Mzc0VFhayWKyoqKjMzEzE6t7e3uqzIUj/7N+/n0yJ7Ozs9PDwiIiIaGhoiIuLY7FYBEEcOnRI//QBbS1f7HKQ1P96mI6kRqvnqqMfldja2urI+iDDEnrVaXJycmJiIj8/f8uWLcuXLy8rK5NKpS9evHBwcDA3Nz958mRhYWFxcbGOuZN/u6RzD+UlW1pa3rt3TyQSRUdHk5nTUqkUTVo/ePBALpfPzMx0d3erhHChULhy5UrlC8Ld3d2tra0PHjxISkpSLiVRX19vY2PDYrHQf6k+QQvtqTQKzVJTD0PPekZGRtAErbm5eVBQ0J49e86dO5eVlRUdHc1gMPLy8lTao1Kt+p9TU1NpaWlocKqcjvyTyWSuXbt269atiYmJ586dCwkJyc3Nffv2bVtbGzWxfnZ29tatW0FBQWiCiuRfsh5yx8XFpaurS6FQNDQ0WFlZ7dmzhxpQ0cJbPB7v4sWLSGqjOOTi4kICBknqAwcO0JfUKGdx2bJl/v7+79+/Rw5EbThw4ABqmP6SGk3RoYentra2zc3NaFrl0qVLcXFxp06dcnJy4nK5Bw4cOHTo0LZt27y9vZGjHBwclLlS6Ozz8/O5ublcLvfSpUvj4+PoJU5XV9dr1665uLggN6KEh1evXnV3d4vF4oWFheHh4VevXtXW1mq731O/+hpL/v777w0bNpiYmGRmZnZ3dwcHByPd9vXr1z179hAE4eDg8OTJE/WztLe3Hz58GC2OPj09ffHiRZWXa1HLd+7cmZqa+vDhw4aGhrNnzyKlxWazQ0ND0fLVra2tDg4Oq1atevTokUQiQat3OTs7v3jx4vnz53///ffMzEx9fT16Dk5V3hq786OFEokkLy/P1NR07dq1TU1N9+7dY7PZKSkpYrG4srLS0tKSwWAcOnRIPYkcnYiEE0EQVlZWb9++LSwsVEqQ0G+bn5+f+oP1devW6X43o7W11d7ens1m+/n5oXpCQ0M3btxoampqZmZWVlb2o6Net0/GxsbCwsLQGywHDx48cOAASqxHz6BNTU0fPnyI7ohU6pHJZCUlJWZmZn/99deXL1/QYizoorNYrKCgIFtbW/R6Imk4Ozt77Ngx3Wu/kAejaVS0CB2q1tHR8e3btxobQ7XSfx9l8fJ4vNevXw8NDV27dk3Z2YMHD3I4nMrKysnJyba2NuVS662trRpnqVVOhIiLx+OdP38ejReNknpmZqa9vV0dydXV1SqvpR4/fhwlO7m6uu7cuZPMLUHeQO+rpKen02FFqVRaVlam/gaFjY1NWFjY/v37k5OTMzIyvvtggUxHPHv2rDpXKBQKNM20evVqbepcJBL99ddff/75J5vNdnR03L59O7nCAZPJRA98UPooetvbzs6ODNYqF8LgP9H72Twe782bN9+FGQIPetPD19fX0dERLZ5LXh2NOwwGIy0tTeWSicXixMREMzOzmzdvKpOn79y5k5KSokwj3Llzp1AoHB0d5fP5qDY2m52enk6uR2RwTxfVECT1v+6lI6mlUimaWt61a9fly5eVeVpZWVnZ2dmpqanm5uYRERHanh8hDcHlcs3MzFgsFpk3LBQK0VsaYWFhaHpgYGAAhXmCIDZt2kQ/Q18kEu3cudPT07O3t/fLly9BQUHk6zUzMzOxsbHm5uZIeJWUlPB4vFOnTpETz2KxODU1VX3YeHt7Z2RkIHJEqtrT0zM4OFiZXH748OHTp0+jhfb+dfq3xA9fX19bW9uzZ89mZ2cr33fmcDgRERFjY2OIZ8nl7dDDRLRAx7Vr1wwIrlKptLy8PDIyMjQ01MfHh8ViRUREPHjwoPrbFhQUZG5unpWVVVBQkJubixYx8PLy0ujq6elpNElPEMSKFStQ2jSLxTpy5IhAIPj8+fPXr1+PHTvG4/G2bNmyefNmlKLt6empkgI7MDCA1t91d3cXCASzs7PJycl+fn5k1kFTU5OtrS3KS6H6zbB9qVR69+5dLpfLZDLPnDkzPT3d3Nzs7OxMPkBAN4eWlpbfTdQTCoUopQ+9468OBmoJh8NZuXJlUFDQ/v37T58+XVhYSCYmjo2N7d27lyAItKDNnj17oqOj0dopdXV11tbWVlZWZ8+ePX78OFIq1Gr37t2r+50/bV5CK6lZWVkpk2rQC3P9/f2+vr5oZeWSkhJPT08y297d3f348eNZWVmVlZVoYmxgYCAkJITJZB49evTly5dI/dvY2J0VTZkAACAASURBVOTn51Pl9fLly1USKths9saNG0+dOoWCq0wmKysrQ+MlJiamv79/9+7dkZGR4+PjUql0ZGSko6OjsLDQzMzMyckpKirKzc2Nw+Fs2LCBvrjs7++Pjo4mCOLPP/8cGhqan58vKCgwMTE5c+ZMf39/VFQUeghOEASbzd6+ffu5c+du3LhBXa/m8+fPYWFhZmZmK1asQItOikSio0ePUi+QpaXlqVOnrl279uDBgxcvXlRXV79580ZddgwODpaUlIyMjKAEACSYrK2tla9z+fn5RUZG8vn8hISEnJwc5dIow8PDWVlZ2tSJtiuusRytmEltMHVfx4xdV1fX2rVrz507h9aCaGxstLKycnV1LSoq6u3t7ejo2L59u62tLfXR/Pj4+JYtW9DzN42NUSmUy+UPHjwgZy5XrVr15MkTOvOyKvXPzs4ePXpUGXry8/Orq6tLSkpyc3PJ1B3SD2j2NDg4WGWWWqU2UlLHxsbW1dWhJwzK5bCUtyXW1tZBQUHr1q1DSYwsFktFCpMvnVtZWQUFBa1evZogiL/++gtloJEtQVD09fU9cuTI1atXKysrm5qaaAos9LZuSUnJ229bSEiI8lFSdXV1V1dXbW1teXn5tWvXEGXpONHCwgK6+TE3N3d1dV2+fLm2dwlOnTpFFZR9fX3ki8KRkZHqj2SDg4Op7+ft3btX+Vylt7fX29t7/fr15IKVKtfCsD/n5uZOnz69bNkydOcmEomEQmF5eXlLS4v6s2X0CAW9hR8REeHk5PT48WN02xMeHn7ixImAgAB0HYOCgioqKt6+fRsZGWlubv7s2TO0mgdqJLotV++4tbV1ZWVlf38/WjGJwWCsXr0a3eh6enqqf0vOsC4vhhVI6n+9SkdSi8VitBgndfyT+2h1Ro13fu3t7a6urs7Ozrdv33Z0dNy9e/f0t1V7AgICkLmJiQn58LG3t/f06dNo1WcdKRn/dkn7HmIxHo+XmpoqkUg+fvyoXCrLzc3t+vXreXl558+fR28GkF0gCIJcdBa94GxjY5OQkIBePiAIQhlCHj16VFxc7O3tbWFhERMTMzU1hZ5i+/n59fT0oGVQ9+3bp/LsRiWXGiV7/Pnnn5OTk+gtb3IdIplMJhQKL1y4oJyyIn2ivYvf+UX5NGDXrl3kfFhAQIDGvFU/Pz9t3ymQyWSfPn2amJj4+vXrtm3bUAYq+jhFaWlpdXU1dWEsDofj7e29e/fuO3fuUFkVfQorJCREmTd/9+5dtCDxCcobSMghhw8fVrH6Tve0/0yuWOfn5zc4OHjlyhUHBwfyGaJEIklMTFy+fHl9fb32Ov63dCufz0dfcuHz+Tweb9u2bSj8czic/fv3Z2VloXuV3t5e5ccp//rrL413JugUnz9/joiIsLGxycvLUwceFYTm5ube3t5RUVEpKSnoDWOVPBYdbSZ/+vjxI0rtYDKZe/bsyczMTE5O3rp1q8p7C/7+/seOHSMfa6D3C8mr0NnZuXr1ajabHR0drT4dixZwQC0PCAhIS0sLDg5ms9kqKySiTzwoFyHmcrlbt259/fq1g4NDXFwcNaWV2n30VNrDw2Pnzp2NjY0aKYXspradubm5hw8fInA6OTmdO3fu4sWLsbGxa/7vih/oOTu6FURtWL16NfkVBolEcv78eSSPDhw4QH6ARiKRoCT44eHh4OBgdJeOGKapqen27du2traZmZmkG9F9cmVlJXofa2Ji4sCBA8rlbgYHBz9+/NjS0lJdXf348ePCwsIrV66gVxXRIkurVq1SebdBW391lKPFs1FiuuO3zcPDIyAgIDAw0NzcHOVuanseSP14MspbQDPQVVVVaBJR5cKhP3UvH0RtKrko7+nTp69cuYL0RFhYWFNTk7rEoRrquT89PY2yttTbiVZvPHHiRFFR0YMHD5ydnamSGk1MbN26FV1fOzs7coyoV0UtISdZwsPDqRks5Eqm586dm5ubQ68nBgcHKx/x+fv7P336tKGh4dKlSyYmJlevXjVgJkXFITKZ7Pnz5zt27CAfg6AdbSEAdeH48ePaVDV1OcJly5a5uLhs2LBh69atfD4/KSnp4sWLeXl5xcXFFRUV9fX11PAnFosvXLigrr/ZbPbmzZuTk5P9/f3R2V1dXdFzMLRuRl1dXUVFhTZkqvRX/U+pVNrV1SUQCN6/f//s2bP79+/fuHEjMzPTx8eHIAgOh0OdCOBwOLm5uSrLCMq/fdPN1NT0zJkzO3bscHJyKikpcXJyWrt2LZncha7jmjVrLl++nJ6eTj515HA4t2/fRvfV7e3t7u7uyqXGAgMDEf16eXndunXr2bNnSUlJ6C2dK1eurF+/3sLCori4+MiRI6htlpaWgYGBu3btMnoymLq7fqgEJPW/7qIjqaVSaU5ODvlgd+PGjWg5TwsLi8zMzBcvXnz8+FE9/o2Pj0dHR1tYWDx79gwtGLdv377W1lakp/l8fmxsLFoDBC1IEhYW5ujoeO3atcDAwISEBI1pW//2R+ee6NsUNZqMRJ97pXIf2jczM1u3bh0iGvQ0EHVhdnY2/duG3udDwjcvLw+9m7hjxw4Gg5Gamjo9PY3yKXk8XllZ2djYWHR0NDkRTrZORVKjZI9Dhw5NTk7m5OSgaOft7U19PMdkMgsKCmhyK/q+gEqvTUxMduzYcfr06bNnzwYGBpqYmJDfoCEbrLIzMzODJuz3798/PDyMJmbQVx7i4+OVq9Q9f/5cJBKpX31qPe3t7X5+flVVVQ8fPrSwsKioqCCPR+t8o4VZqCZ09iUSSXp6ekxMTE9PT1hY2NatW8mnKLOzs/Hx8cuXLyfXnVA/EXqnm8vloqXN0XKBra2t5Hdz7O3tqa9vIydHR0dT88ip1aLP2u/evZvP56PnFStXrkST3xYWFtnZ2W/fvq2qqvL09ERJGgYjf2ZmpqCgwNzc3MzMLDc3VyAQqE/Loda6u7vX1NT09PRUVVW1t7dPTk6SVwS1HM2vuLu7+/j4oNVSuVxu3LeNzWa7ublVVFRUVlZaW1vb2tpevnw5Pj5eo6RWKBRzc3NXrlxBC8ZZWVnV1NQoAx5K67Szs0N3rbGxsbqnCan+1LYvl8uFQiGa+AkJCamrqyOXeFMZCCwWKzU1dXh4uLq6uqamZnBwkBq/5XL5ixcvzM3NY2JiPn36FBcXZ2NjU1tbOzw83NLSUlFRcf36dXJJQRO1ZRnd3NyogZD8II6dnZ36vL5Kw9CfqHnkgw5t/f1ueVtbm8pLtNTTMRgMNzc38luY2mqbn5+/cuUKeolqenoarVNEEISpqWlQUBD6FmNoaOimTZuUd6FXr17t7u5WwZLGmtHnY5RPL8+ePSuRSFpaWpDioapbjYZ6FqKPMbm5uSkX9nFxcVm3bl1RUVFLS4syE2xmZib72zY9PT2oaRE99CkD6pQB6TcPD49jx46lp6dnZ2fz+Xwmk5mQkKA79R+tScxisbZu3XrmzBm0GB/SdmhBSXR3YcTXE9GiNxq/IxYQEIDy1jIzM/Pz8x88eFBZWfnu3Tv0rohG36Ine7o5U6OhQqEQi8VVVVVPnz6l3kXz+fzJycnW1lYXFxcWi5WQkFBdXY1SMU1MTAICAtzc3OjcUsrl8pqaGm3I53A4np6eERERMTExx48fT0tLQ1RJDbhyufzJkyccDuf06dPbtm1DzzltbGx4PN769etXrFhBFeUkNtCOjY2NMg9QIBBIpdKrV6+uWbMGpZh/+PDBxsZG+Tba6OgoWlBVmSh4+PDh8+fPa2tqQECA7kQybW5fvHKQ1P/6lo6kRotJKZdS9vHxWb58eXFx8c2bN9E7BHv27AkPD3d1dUW38g4ODomJiejlwpaWlrVr16J1ptva2lasWOHl5eXt7c1kMk+fPv3u3Tv0ziIVkUwmMy0traen5+nTp+oZaf92RtOeXC5XPu2dmpoip6ijoqKQ2qutrXV0dOTz+WVlZQ0NDdTvwSK32NnZNTc3U2tF7/a2traeO3eOyWSu/LZZWFg4OTmRC78r12zftGmTh4dHV1dXXl6eUqGq8w56PVG5sHF5eXlRUdGGDRvQalnj4+PUiX9ra2vlyr7om2RMJpP+t/TIR1cHDx589epVdXV1UFAQk8n09vZ2cnJatWqVj4/PsmXLampqqL1W2Z+ZmUHdZ7FY6MvJc3NzeXl53t7evb29IpGop6enra1t+/btuhdRlsvlPT09vb29fD5/1apV5I2+QqFAkvro0aMG60iVNqM/p6en29vbX716he76SMGEMj7R22YaDdG0YltbW0lJiVgsJt/4bmtrIx/gIsSampp6eHig7+Z8931HmUym/F7m6tWr9+zZo5wCR/eo6N4M4RydyN7evqmp6fPnzxUVFd/NcVRvf29v78aNGxMTE8n8YJFI1NDQMDw83NDQcPHixX3flqZJTEzUpv6pdc7Pz7969Wr9+vW2trYawzMa8mR00Sap0arkTU1NW7du3bhxI8r5mZ2dRZORaLIHpT+hNWE6Ozs7OjqGh4fJq0ZtlY59lLm+bt06MoNFJpN1dHQodfbIyEhBQcH58+dXrFjh7Oys+0s6g4ODvr6+69ev7+vrE4vF6g/oqZRlZ2e3efNmNF3n4eHB5XIrKyupmnJsbAx95obBYJibm7u4uKxfv37Tpk27d+8+cuRISkrKX3/9dfLkyezs7MzMzMDAQIIgTp8+TZ3n1tFl3T+JRCIyU9PU1PTkyZMvX75saWkZGBh4/fp1WlqaPjBAyxaFhISgd4gHBwc1vs+nUChEIlFtba3+vI0yy8k3GkUi0fHjx8kPF+ju2nd/7enpcXNzU75JPzAwkJaWxmazIyMj0UwQunzoyzU9PT3acqnRZweGhobQhP3Vq1fZbDa5ZpTGXGqNrZLJZGj2hAob9BUqFCjJCfurV6+iuEN9I0VjnfoUfvnypbOzc3h4WCwWj46OogS8U6dOoQsklUrHx8eV+WDKJ8nV1dXFxcXavkiPFn51d3c/f/58fn6+enIO+mDtsWPHqMRObSGqgcfjBQUFmZqalpSUoFV0VRyi8qeHhwf1XWdqhd/dR1/7ioqKOnLkCFqNOyMjA3H1d1P+yCdLHA7n5MmTW7dudXFxuXHjBsp7UebpsVgsd3d3NBcQEhLy7Nmz/Px89PomddiiZUNRwmdubu7Ro0c1Pu4je21jY7N58+bU1NSysrK///6bWtV3+7tkB4Ck/tfV+kvq7u7uI0eOhIaG+vn5oXRSMmqSl1/3jp+fH/pGK5roRYtTopt+e3v7J0+ejI2NKZPJ0J366tWr0Qr86MvkBiNpbGxs27etubk5KioKDV0U22Qy2cDAAFW0oY9NLCwsoKVbqbPLYrE4KyuLTPIje8pkMp2dnc3Nzblcbm5ubn5+fkhICI/Hc3FxSU1N5XK5dnZ2aWlpKsnEnz59Wrt2LVkJ2snIyOjp6fH29vbw8EBaDV0nNJ/BZrNv375N8+nnwsLC/fv31afQUANsbW1NTEzQ8tj/QuT/7n358uXgwYMoG/Xp06f29vYbNmw4cuRIcHAwi8VSgYS7u7v6m87/tz5FR0eHk5MTn8+nBgz0XqPGJb1VzH/0z7m5ubNnz5qbm6NX5ZC5WCw+evSo/t9jn56eRm98o3jz8uVLHo+3ffv2ysrKp0+fpqWl+fr6IlS8f/9eRwvRk0TetzXCZDJZc3Ozo6OjiYnJ7t27Dx8+HBkZiRbPoeKEzWZrDGC6z0KOOJXD2traVq5cyWAwUlJS+vr6uru70dKNOTk5iYmJ6MvSKiYKhQIt5OLj40MmlDOZTOUnA4OCgsiZFT6fj77ZoUNSKxQKNEmD1hFDCSHDw8PNzc0ol9rU1FRlBpfJZJI35+oN01YyNzennsqMZgTS0tIIgnBxcamuriaVxN27d0+cOHH9+nXqU+/p6emSkhI0kJX+PHjwoLW19Y0bN/h8fkxMTF5e3qtXr9BThXXr1pEZn+gGe+XKleiFXdRC9MCEyWSGhoZ+/foV3ZW5uLg8e/asp6enqampoqJi5cqVPj4+QqFQmeHq4eGBPiOlrYM/Wi4UCslX39Q57cyZM/rwLVqpBn0zGU3rokVLlF8pv3PnjvLzgXw+38/PD6WW7dq1S88XANCXXL28vMgU9snJyfLycvKdlh/tLPV4lLaOJkQLCwvV0w+CgoJGRkY0zlJT60H76M6KOmNCZld/N0cRzfIyGIxNmzalpaWhl1i4XO6+ffuys7PRV5l2795NZVQvLy8D0n6Gh4dv3bqVq7bl5OSge2lEL9ryWJYtW3b37l314dPR0YG+n5CQkGBmZhYXF6e8AY6JidmyZQtKKQkKCkJZDUFBQeRwoPqwt7d31bft4MGDaKXwvLw81Awul3vw4MH09HR/f38mk7l9+/agoCAHB4e8vDz9782o59K2T8616075Q+ZyubyqqorL5SYlJUVERLi4uGRlZXG5XOritmguICoqqqamBhGg+gfa0AwUddwxmUx3d/cdO3Zs3br1yJEjly9fvnDhgpOTE4vFWrt2rYODQ3h4uIqE0NYjLOUgqf91u/6SGq2/g25qqTGeIAg3N7ewsLDIyMjo6GjlPd+dO3dev36NluzNy8trb2/XFtHRW2g7duzo6+uTyWT3799ns9nkuuu1tbXW1tYuLi4G35WiO0vlKxfk0zrlVBA5VyeTyUZHR1tbW1+8eHHv3r3z588HBQWZmZldv3797du3VlZW1E8Yos8jo7W3rK2tUS7djRs35ufnJRLJyZMnVXyC/gwKChIKhdTZKfRW++PHj7lc7rJly9D42bZtG0q3qKqq4vF4yo/bUYmDXFiqqKiIpqRGGo7D4Vy8eLG4uDg9PX3lypW2trZv376dn59HwSwgIED9C+roSX1ZWZmjoyPKMxOLxQMDA+htDI19Jwjiu3EFfdUWpW9Su4aIKSEhgeqHf1FLYw99kG/Dhg3kq5DoQSR6jv/hwwd96kYZmQ4ODqSkRouJqvgBveqqo0K08Aiqh1ybT6US9KXctWvX7ty5Mz4+Pj09XXnbRqoNHZWTP01NTaFlpMkF2hobG1+/fn3//v3s7Ox169apnxGVsFgsZfCgOgoNqPLych6Ph5Y5CwsL43K5/v7+JSUl7e3tQqEQveAYGxt75f+x964xTTTv//8+4lmf9EGTPmiaNGkaYkhDCMFACBAIGCAcjJyCnAQEAUHEAwKiIogo4gHUIkVRVJRbQAREEUQRRRAERAGLFTkjIGBpSynt9te/1/e/n/22ZamHW+/P9x5izHR3dnb2tbO775m55rquXtXGJ6KQ1DB+TBYNBmvCYDBsbW39/PwS/v/AUi0tLfqjYsT16iTUarXWUyxx7ZDo7OxsbGwsLy8H0xSD54U329OnT/XHxbUjlGlpafouvWZmZoKCgrZs2XL//v2MjAytcxVQHnFxcWRFCN6R6XQ6OOLVaDTECkVyTVxdXfu+/WVnZ3/XHdchoPNTJpOdPHmSfCImk+ng4AA3wsPD4/nz5+T5bjh8amoqNzc3JSUlPz8/Kytr9+7dwcHBhLUruTT9NEzdHDp0SCwW67wMdeoGEctTU1PZbDbZEkw/2w9sgQEFJpNZUlKiVCphHeSpU6fm5uZwHId3DoyOGympJycn/fz8AgICCGsc40epJRJJQkKCnZ0dGADA2Y8dO9bR0UE4vgCSPB4vLCwsPT09Pz//r7/+Is5lJAG1Wt3W1kYY9erfHZ0trq6uWhd+sDr2+PHj58+fv379uo7dDvFJunnz5o0bN/R7JkSZXC63rq5OvzkRk3upqan5+fkMBiMpKWnDhg2enp62trYQMyUsLExnHoxskWzk5VNng8VOFhYWFCZ/RAnEzYVpE0tLy5SUFDqdbmtru23bNuhI6H8Qraysnj9/rtPsISrCkydPYOwABo9UKlVTU5PO4hYgaWlpmZ6eTu6WE7X6JySQpP7PXTBeUsMxy8vLYrF4cnJSLpcTEThtbGx8fHzYbHZMTAwM1+3ZsyciIgLcdxw4cGCtmUSY3z98+LBMJuvt7bW3t6d9+9O6TL59+3ZsbCyNRrt69ar+J+0/F2BEiljXj2GYo6Pjtm9/bm5ua70ITExMbL7FWF7LPZBarb5z5w6Lxbp7965arQZJbWJiEh0dff78+YKCAjs7OwhIudZgz9jYmJ+f39atW0G8dnd3h4aGdnV1ZWRk6LudV6vVf/31F3E6I654zSzEmpjt27dfvnxZIBAQg1Xkl2BNTY3OSxDH8bq6OliER6xcBPMVGxubmzdvQlTO2dnZ0dHRT58+XblyhU6nEy411qrQ4uJibGysvvNdMC7X6VqsVYjx24kgurm5uWSxDqNN4GfamNKkUunevXshQBIxLhUUFATxjbOysoKCgiwsLNaV1L29vVZWVrt3715YWABvbo6Ojtu3bw8MDGxra5N++9u/fz9obmMqZjDPyspKZWWlQYd3xE1nsVh+fn6JiYlaf6jnzp27evVqbW0tdIyhu0uUDMP8TCbz8uXLDQ0NeXl5xApXbdMl1lkSD5e+pF5aWhoeHlapVDCC6+LiUlpaam1tbWlpGRMTc+rUqeLi4kOHDjEYjCNHjpDHiYk6fG9iZGQEwkgR16ufsLW1jYqKSklJASdi5eXljY2NnZ2dYGirc0bwDqTfbj9//hwYGOjr69vQ0ACmn8ePH2cymfpeiicmJk6fPk10VyBqhrm5eWho6LZt25ycnExMTG7cuKHzGOpU4wd+ymSyc+fOgXqm0WgpKSkikUgikcCgwJYtWyg+2+Pj4wkJCWR0PB7P2dmZWEVjb29fWlra1NT06tWrwcFBrROVhYWF7317Q7efxWLt3r2b6IfgON7Z2Xny5EmDvX0jOcBkFJhjEZbKwcHBQqGwpKTk4MGDdDp9x44dc3NzxkhqwjAjPz+f6OARqkv/jutUEl6e5E8AeI2Uy+WDg4N1dXUwzPmrlidOTk6Wl5ffvn374cOH7e3tzc3N7u7u5ubmhI/CN2/e2NnZhYaGEm1Sp8Lkn1+/ft21a5e1tfWbN2+qqqrgUX39+jW549rc3Ozm5ubs7GxwolIul2dnZ2unoaqrq4uKiqBRbdu2ra2tDcyciGYGrfTKlStFRUXXrl2bnp7Wkafkin1vGkz+jJ+fhICRHh4eoBDAH8vVq1fJccUxDAsKCrp37157e7tIJJqdndUf4yfqCd5Cc3JylpeXtauwRkZGWlpaMjMzCwoKHBwcrK2tHz16NDg42N3dXVlZWVFR8Uveh8TZf1UCSer/kPwuSb26utrY2EjM9hKNHhIMBmPHjh36w3UUYe6ha56RkSESiQICAsAJa1tbG3GKvXv3riXH/3MNRqRgMaKLi0tnZ2dmZiZUmE6nOzs77969WygU3r179/Hjx52dnSMjIxKJRCAQsFis+vp6g0+vSqW6ffs2i8W6d+8eSOrc3FxCPwFSwj8rdMd1vlXw5s3LyyOWQuM4/urVK3Nz86ioKJ0lWSqVqry8nMVirbtqcF0SFAPqTCbTyckpLCzswIEDQqFQ/8UKDzwZCIRh4/P5J0+ezMzMDAsLgx72xo0bvby89LUUUb2ZmRl4M4KBh84YHjFod+LECbLwBWfh5AoQBVInlErlx48fFQoF+KjRN2yFeXyDpvPkChBnkUqlhEdzQlKDu27yQ0E0CeJASIyNjeXk5LS3t+fn50Nkje7ubgcHBzMzsydPnjQ3N2vN2bVmeZ2dnRKJZM+ePQ4ODj+5HgVCVERHR4eFhSUlJZ09e/bWrVsgGf/66y9TU9P09PS1un9E5efm5urr68VisX5UGhsbG2J4xsHBASyLGAyGg4ODTjOAyVMzM7MTJ048fPiQz+fr2PzA6SBW80mSExiiGj+WgIdaa7QdHR2dkZFRXFx879691tbW9vb2nTt3rmv1rnNSwsadvOIQzIv9/f1hDqStrQ2WF2utLfUDyOE4TmhNwhwL/PwQ3Veyhx9YBQs29zqVMf4nEZbIzc3t+vXr4NgkNDQUhLKLi0tfXx/18yWTyXp6esRiMdlMS6PRGKNBja/nly9fduzYwWQyy8vLQY7AWIC7u/vPPAhisdjV1TUkJGR2dlYul1+9elXfBM7MzKy0tPTjx49r2VITV7G4uJiYmKjjNNB4SQ0mT0ePHoXnTn9ejhD9vyogOVHzlZUVoVBoYmKSkpIC35qJiYmQkBDwCkDdAKCQ7u5uS0tLWE9/9+5dWD+t0/0bHR11c3MjG0ERFdBoNIODg/b29p6enmKxuKioiM1mQ8jejRs3mpqawjDNjRs3wGmBk5MTrLDicDh3794lHhxygT+Whi8C4bqHupDZ2VnyLL2dnR04Aezo6IAlrWq1Wv8+UpcJ01M5OTnawJPe3t58Pn/fvn3x8fHBwcH6UgrDMH9//97eXmPuEfV5f+3ef7ukVqlUz58/B+/LMFD0XR7UR0dH09LSYCKJzWZnZmamp6eDq/+mpiYrK6uYmJiOjo7Ozs59+/ZRf6tgMDI1NfXo0aN8Ph+WmSsUioJvMfnYbHZ1dbXOg/rDTUEkElVXVyuVSvgqTE5Oki0N1Go1YZ2yuLgYHx9PMWYJ5gpg/iUSibRO4szMzEA/raysgCN9sqRuaGjw9PSk/hjAvD+Px2tpadF5YIjTQQyaHyYANiePHz/m8XhBQUGOjo4sFqu8vHxyclIoFNrZ2eXn5xNWMcacResuNDQ0lCwiwY2ak5MT99uf/oQXGJDk5+dbWlpWVlbCgJn+NwNeNL6+vkVFRcXFxXl5eXv37oWO1s6dO7936lMkEjk5OSUlJTU3N7u4uHh6eupMo2tjqRw8eJDNZmdlZV25ckUgEGRkZIDzE1NTU/0g1UtLS7t37walS0hqBoPh5eUVHx8Pa+d9fHzWktSDg4NEMHBra2vtuhMIEVJRUbG6urq8vAzeVA4fPvz58+fExERq63Zj7hRFHvi0p6Sk6HiM0j/kzZs3tra2sBDHWnmYywAAIABJREFU3t5+//79586du3HjhqWl5c6dO1tbW2NiYuLi4hobG62srMLDw2trawsKCthsto4TPbLhAZ1O/+uvv/Sf8ZcvX/J4vLxvzi71a/ILtygUiuzs7HWX5OqcUSaTgTH9wMAAedfU1JSvr29gYODnz59XV1dv377NZDL1e4zkQ8DU4eDBg6ampvC8gMJms9nk5cjgIQQsfXUON/LnyMhIdHS0iYlJamrq5OQkGPIRz6+Xlxd5/YaRZRLZfq2kBjMMbXQ6Fot18+bNlZUVCG1rb29PdnpNnN2YBLgoYbPZxDhIUVERjUaLjIxsaGh48+bN1NQUMZq47uWA+xdTU9MTJ07orMYxJiC5SqW6c+cOh8PRBpqBtz1IMZ1wBA0NDWw2+5c40SMjGhkZiYiIgPe2iYmJn58fLKrLzc1d9yUAzfXw4cPQUQTnpAYlNYTrioiI0B8UUyqVoOmLiopkMllhYSFUhsFgpKamEq7xiS8LhPaMjY09ceLE7du3v/f9T752nfR3zU9CwHAul5uYmAght6RSaWdnJ7l7+b2SGsYOXF1doS9BNrCGj2l0dHRmZiasAX38+PHAwAD5dDqX86d+/tsltVwuP3/+PIPByMrK6uvrCwoKIsLdGXlLJBIJLHjfuXPn7OxsRUUFnU6/dOkSWD+D7zMwN9RZl6NTfmdn54YNG7Kzs8fGxsDjnlQqBc+vLBbLzMyMTqefO3ful7QhHMf1v9xEfbq7u93d3YVC4devX2H1lb+/v/5ILeRXqVSlpaU0Gi04OHjDhg3h4eG7du0yNTUtLS3duXMnvAjIkrqurs7R0bGvr484nU4CxqEZDEZeXh4xWKhVt4cOHaqvr5fJZKWlpRSj5jqlUf9cXV19+fKl1jAXJn8FAsHKysrg4CC8ZMG04/Hjx0Q1KEqDkLMbN268d++eSCT6/PkzjOmCmSDFbNrMzEx8fDzxxjQyQaPRrK2t/f398/PzdQbyKSoJi94ePHigE6jMmJNyuVxXV9e4uDgd61Jw7+3o6Dg0NKQzLgWWUTCTvpakBld0YCbo4eERHBzMYrFu3bpFfNFHR0eDg4PLy8vn5+d37ty51uQp9VVT7J2fn6+srBweHoa5kQ0bNhjjrxAiR0IwSMJlOMRI27VrF3iThHUUVlZWCQkJk5OT165d05fUGo1mbm4OGoD+zACYa8MEKxHnmeJafmCXWq3u6OhobGxcXl6G1xR5hZkxBYIxvdbCW0dSw7LjoKAgsE9YWlo6duxYbW0tufeuU75arW5sbOTxeFFRUeDqAZYjs9ls8toJlUpVXFysHWRdy3+CTrE6P2UyWVZWVmBg4PPnz2GQD6LoQbQmsNfPzMyECugca8zPdTWoMYWQ86hUqrq6Oi6XC3JNKpVWV1fz+fy2tjZyNuPTw8PDHh4eO3fuJBTe0tJSbm5uVVUV8V0QiUR1dXUSiWTdyxkdHfX399+0aZPOQInO22Ct6kkkkqSkJHd39/7+fljz2tXVZW5uri+pWSzWxYsXJyYm3r9/Dy44Ojo6fn6YVq1WDw8P//XXX76+vvAmNDEx8fX1PX/+/ODgIAFEv/44jj9//nzDhg3p6elSqVStVhscpSacIeqEzoUCYXWsv7//2NiYSCQCP4nW1taPHz8Gz+58Pl8gEDx79iwtLY3L5T579gx8nrS1tVVWVi4sLOhX7Me2wPykmZlZZWUlWK28fPmyoaGhvLw8Ly9v+/btDx48INNeWVl59eoVYY8EJ8Vx/P379xCK5XtNFsHiC8MwNzc3iJs4MTGhVCrBJHLTpk1GLur9scv/VUf92yW1RqNZXl6+cuWK1oMSmDz6+vquJR/1oS8uLh4/fhzDMD8/Pwg3HRoaamZm1tHRAavrPD09L126dPHiRUdHRxjkIzdKokAwbGWz2YTJ7OTkpNbXAYZhEFRvenoaQiceOHBAZ1iRKORXJeRyOazPBeMHDMOIWumfQqlUCgQCeBOFh4eLxWLCmGTz5s0tLS07duwgPregv7lcbnNzs87wM1FyX1+fvb19REQEuf/99evX3NxcGEXw9/eHN8taJRBFUSdUKlVHRwe8wmg0WnJyMrHuRC6XV1dXEyY3xcXFBu8auXyY4tiwYUNeXt7ly5fPnTt36NChyMhIMK6lFoLj4+Nbt27FMMzb2zsnJ4fFYnE4HE9Pz4SEhLy8vFu3bjU3N/f29orF4unpaYlEQiFKyFVaK726ulpeXs5kMrVuSY4dO+bn5wcW81q7vcOHDwuFwtra2vb29sHBwdHR0S9fvhi09yAK10a6gfC5Hz58wHH86dOnHA4HrCe7u7s3btwIsSoppmhUKlVNTQ3IU/01NysrK+fPn/fy8rpx4wY42Pm1L9aRkZHIyEg2m52Xl3fp0iUGg2GkeJXL5SdOnDAxMSkpKYHvLvQ/ExMTFxcXGxsbTU1Nicl0avuf4eHhLVu2kL2DE3iJgX+t1wiim0Hs/fmEUqksLy/ncrnglhjiR37XGmj44OnbuEP0KDAtgHouLi5S9E7BRNjBwYHP57e2tsLTDRHa6XT6+fPniXaoUCi0+o/P53d1df0YAYVCAU80+JYBbw/g67qzsxN61B4eHj/gUwIiN4G7z+/q61JfyOrq6r179yDIl7Oz85YtW354WAEeKIroY9DxLi8vZzAY1tbWEHED/LHoV3JiYmL79u0GJ1GJjxr1yux3797Z2NicPn1aLBZHRUWx2eywsDAmkwkhQsA5x5UrV3Q8fsAXh06n5+fnSyQS/Yp915apqam8vDwWi8VgMHx9fcnrF319faurq3WEIxQ+MzOzfft2Dw+PDx8+wLQnSGpTU1NbW1udQVYMwwIDA3VmPqVS6eHDh83NzSEG+Nzc3M6dOwmjI1jgu9byROKba3zHUi6XX79+ffv27ToxbuCnvkslOAXxP4PBEAgE1IN6KpXqxo0bdDo9ODj4zJkzLBbLyBcXeP7RrprgcrmNjY3kbxzEY0KS+rua9B/ODN8V8Im4Y8cOg8+PfhWHh4dh9jAnJ2dubg5aEoZhMTExnz9/JmZwYNjDzs4uMjLy9OnTBgWxQqGACe7c3FypVNra2gqz4SkpKYTPHRjtMzExYTKZCQkJly5dunr16uvXr8mNT7+SP7aFHNVJ39yWXObw8DBYjkZHR09OTvb09IBHkaioqLGxMYVCcfbsWeKZJBLp6ekG34NjY2MhISF2dnb6NlIKheLWrVugUCkGfcl1WyuN4/jQ0BB8RzEM27Vrl8F53unpaejVnDTCjBUGfogL1En4+flR9NNwHH/x4gWfzy8sLFR8+/vJ3sJaF05sh9iHLi4uYrF4ZWVl3Q4DcaBOAmQQ+KIRi8UymQziUYOkhqFcMIOjNtGTSqVZWVlcLtegddP09DThPBgMCXSq8ZM/l5aW8vLyYKaCyWSutWxA/ywjIyPh4eFPnz6FaZ+ysjI6nZ6YmCiRSFQqFcRExDAMvrsYhukvt4UyYY0BeWyeOBcRQ+r8+fN/h6SGgfDu7m5CRqwlnogq6SQguifhroG4IpipDw0NNUZZaqOLHzp0iEajWVlZ6cTVa2trM7icFLwhUQwi6tRT5+eXL1/u3r1LRBXZsWNHW1sbPAhSqbS4uBg8tBw7dqy9vX12dlYqlQ4PD697LcT0xa8KyEJUG8L0REVFEe8WfSMxIvNaCZgHgPBJ1M1JqVRqoysQ5JOSkoi1LkThYrE4KCiITqdfvnyZ6PAQe2UyGfgYpZDU4OgG4gRpNBqyM2YdT3YcDmfz5s2EN4nt27fv378/Ly/vzp074+PjxEm/K7G8vNzR0QHr4Ol0enJyMiw3B0OgI0eOEHXQDyO/srIiEAgsLS2fPXsGr2ulUkksLsQwjEajcTgcCwsLOzs7FxcXLy+vkJCQ+vp6osVCvBVHR0fySw+8FuLf/rQeGCEaOZPJ1K7/DggIiIuLS0tLO3ny5KVLl8rLyx8/fvz69evR0VHjNcDExITB4FZsNls70xgYGBgbG5ucnHz06FEYYigtLa2srHzw4EFLS8urV6/6+vrWHRdXKBS3b98mrJ+NbKVqtRpsZcvKynRa5sjIiIeHB5LU39W2/3xmhUIhFAppNJqRny6Qkubm5pWVlfA2mZubi4mJYbFYdXV1arV6cnJy+/btGRkZnz9/NkYh9fX12djYaB3vwxiJNnhEXV0dsXoaAMnlcogqRLxVKd5WP8mUUNXh4eEUS8sVCkV+fr6Pjw+MHYICiI6OJnoCExMTmZmZRLc4MjIyMzPz9evXxJuFqOfMzExcXNzGjRufPXtm8B0BE6AcDsfX13dycpI48LsSEonk7NmzMISgna98+fKlfk2IAsHO5OLFi/ofDCIPJEZGRnx8fCwsLIqLixsbG7ULLGDurLW11c/Pb/e3+Oo6h5B/rqys3L59u6ury5imQj7wh9NDQ0PFxcXUQw7GFD4/P5+QkODi4gK2Ey0tLaampkSzXF1draioYLFY3t7e1F8+rYXMwsLCWpcvkUiys7MxDDO4gM+YelLnkclksD4SuhnUmYm9EKCHkFlDQ0Ourq6JiYkgPuRyeW5uLo/He/bsmUgkcnNzc3JyGhoaIg4nJ5RKpb5kgaGv6upqJpN54cIFnS8N+fCfTEPMBViiV1hY+F0nkkgkBw4cAMsfcjVEItGmTZuoBbpKpXr58mVMTAydTmcymVlZWfqNZHV1tbm5mdC+8Opjs9kRERHNzc0UDy+5MkR6ZmampqYGzohhmK2t7cWLF4npKSKbWq3u6urS8ZcPxu4GX03EgRqNZmhoyMXFxaDhLDnbj6Xlcnlzc3N8fDx4dVz3vaRzFm3UEhcXl4MHDxoc0dDJrFarnz59amVlhWHY2bNnyR8jsPB2dnbm8/l1dXUGGwwYPJiZmRFvA53yNRrNyMjI5s2bc3JyCMPl8fFxWLlRVlbW0tLS09MzPT1NPrV+Id+1BSwT8vLy/Pz8QDF7eHgIhcKxsTGdlw883UKhEGZOyFMiYD5ua2tbWVlJjEdATFk2m11aWmpks1xdXR0bGzNIT6PRwOzlli1bfvhjZ5DM+Pg4qOTOzs6PHz+uG9nXYCHUG1Uq1ePHjy0sLIigb9T5Ye/q6mpfX59+yxSLxZ6enps2bfr06ZMx5fzZPMjw4z/8pVLp9evX3717959Na6fm5+dra2t1hh7fvn2bm5tLGKhpzWSJ9Nol/c8ehUJRVVUVFBTk6upaUlKiUzJkUigU7e3tjY2NXV1dHz9+nJ+fN/LRXffsBjMsLi5mZmZSGGnAUfPz8xCMGn5CHHKd15PB8nU2Dg4OJicnU8tKpVJ548YN8iywTiHr/pydnY2JiUlPTx8YGDCGHo7jsCSIumTw3nDo0CGdTjxE7jXm269Wq38AGnWtqPcac/nUJRBjnKmpqbOzsxAxpLKy8tWrV8S1yGSyM2fOCIXCn/wuQmAd/RWr69bQyAzLy8tFRUWFhYU/XE/4kFRUVBAljI2NlZSULC4uqtXqlpaW2tpa4gNsZK00Gs3Xr18LCwubm5vXFXPGl2kw58DAwO7du8E3sMEMa20cGhq6efOmzuQeLIrIz88nL1nTKQEswQICAmpqanQO18n5S37CdJCdnV10dHRJScnbt2/XUjNwuqmpqbi4uLCwsDNnzjx8+PDjx4/U+eGo1dXV2tra8vJyohn8ksrrFDI/Pz8wMGBMfcgHzs3NVVVVGfy4kLMRaRzHu7q6IiMj9f20vHv37tixY9TeteVyeXl5eWdnJ/E2IEqGV8fg4GBOTo7OzO27d+/27NnzN+knHMebmprs7e2Tk5Nra2unpqYM1o1cz6WlpYqKCvJAD3RBm5qadPgvLy8/efKEmgm5ZOo0juMDAwOVlZUU5lLUJfzBvWq1+tmzZ3v27DG+sa1VWxzH3717p3XPp6+21zrkD25HkvpXwsdxXOcZ+97SFQrFLxE633vetfIrlcq/+0O+1qnX2q5SqX4S8lolo+1/EwGlUvlLWvXf3RpVKtUPSN6/CdofKVapVK6rMP5IxdBJ/xQBHMcXFha+dzj8Z2oLccd+yRvjZ6qBjv1JAuBu/5+mH37yotY9HEnqdRGhDIgAIoAIIAKIACKACCACiAAVASSpqeigfYgAIoAIIAKIACKACCACiMC6BJCkXhcRyoAIIAKIACKACCACiAAigAhQEUCSmooO2ocIIAKIACKACCACiAAigAisSwBJ6nURoQyIACKACCACiAAigAggAogAFQEkqanooH2IACKACCACiAAigAggAojAugSQpF4XEcqACCACiAAigAggAogAIoAIUBFAkpqKDtqHCCACiAAigAggAogAIoAIrEsASep1EaEMiAAigAggAogAIoAIIAKIABUBJKmp6KB9iAAigAggAogAIoAIIAKIwLoEkKReFxHKgAggAogAIoAIIAKIACKACFARQJKaig7ahwggAogAIoAIIAKIACKACKxLAEnqdRGhDIgAIoAIIAKIACKACCACiAAVASSpqeigfYgAIoAIIAKIACKACCACiMC6BJCkXhcRyoAIIAKIACKACCACiAAigAhQEUCSmooO2ocIIAKIACKACCACiAAigAisSwBJ6nURoQyIACKACCACiAAigAggAogAFQEkqanooH2IACKACCACiAAigAggAojAugSQpF4XEcqACCACiAAigAggAogAIoAIUBFAkpqKDtqHCCACiAAigAggAogAIoAIrEsASep1EaEMiAAigAggAogAIoAIIAKIABUBJKmp6KB9iAAigAggAogAIoAIIAKIwLoEkKReFxHKgAggAogAIoAIIAKIACKACFARQJKaig7ahwggAogAIoAIIAKIACKACKxLAEnqdRGhDIgAIoAIIAKIACKACCACiAAVASSpqeigfYgAIoAIIAKIACKACCACiMC6BJCkXhcRyoAIIAKIACKACCACiAAigAhQEUCSmooO2ocIIAKIACKACCACiAAigAisSwBJ6nURoQyIACKACCACiAAigAggAogAFQEkqanooH2IACKACCACiAAigAggAojAugSQpF4XEcqACCACiAAigAggAogAIoAIUBFAkpqKDtqHCCACiAAigAggAogAIoAIrEsASep1EaEMiAAigAggAogAIoAIIAKIABUBJKmp6KB9iAAigAggAogAIoAIIAKIwLoEkKReFxHKgAggAogAIoAIIAKIACKACFARQJKaig7ahwggAogAIoAIIAKIACKACKxLAEnqdRGhDIgAIoAIIAKIACKACCACiAAVASSpqeigfYgAIoAIIAKIACKACCACiMC6BJCkXhcRyoAIIAKIACKACCACiAAigAhQEUCSmooO2ocIIAKIACKACCACiAAigAisSwBJ6nURoQyIACKACCACiAAigAggAogAFQEkqanooH2IACKACCACiAAigAggAojAugSQpF4XEcqACCACiAAigAggAogAIoAIUBFAkpqKDtr3LyGwsrIil8vhYnEcl8vlOI7/S64dXabxBGQymVKpND4/yvl/g8DKyopKpfqF14Lj+MTExPT09C8s8x9b1OrqKvF2/YFKqlQqhULxAwfK5fLV1dUfOBAdggj8MAEkqX8YHTrw/wgBqVR6+PDh9PT0paUlHMc7Ojrc3d3r6+t/7UeUGtbi4mJeXl5VVRVZseE43tfX9+7dOxzHFxcXHz16tLCwgON4f39/d3e3Wq1eq8yPHz/u27fvwYMHOqW1traeOXPmy5cvax2ItgMBtVr96NGj8vJymUxGMJmeng4NDc3LyyNvJPZ+b0Iul1dUVJiZmRUVFa2srOgfjuN4W1vboUOHxsbGyHu/fv369OlTiUSiVqt7enqgJSwtLTU3N8/Pz5NzktMrKytlZWUZGRmTk5Pk7YuLi6dPn3727BlFcyLn/xempVJpdnZ2amoqKGCVStXR0dHS0kJ+P8hkstLS0p6eHiO74hKJZN++fV5eXv39/UYe8vvJLy8vk6/xxyqwurpaUlLi7u7e3t7+A21seXk5Ly9v165ds7Oz31WB6enpbdu2paenz83N4Tg+Nja2tLSkUqmam5sPHjyo80x9V8koMyJAQQBJago4aNe/goBEIklKSuLxeE+ePMFx/NOnTy4uLhYWFm1tbUZ+7VQqVW1t7YULFygGYwYHB3NyckZGRgwylUqlmZmZbDb77t27xGdMLpdnZma6uroODg6+f//eyckpLy/v69evAoHA09Pzw4cPBovSaDTz8/Pbt2+n0+kCgWB5eRmy4TheX1/PZDL37NkzMzOz1rFou0ajUalUN2/epNFoUVFRYrEYmoF2iDolJYVOpxcVFRFUKXAplcre3t7379+TWxGO49PT07du3dq0aRP27c/MzKy1tZWch7hfr1+/trKyioiImJiYIE7U3d1tbW198eJFiUSSn5/v5OTU19cnFovd3NwuXbpkUJ1rNBocxx8+fMhisTw9PQcHB4nSvnz5Eh4ebmZm1tDQQDQ8Yi9KaDQapVJ59epVGo3m5ubW2dmpUCgKCwu3bNnS29vb19f38OHD0tLSrKwsNpvt4ODQ19dnDDToLTs6Otra2j59+vTXksdxXCKRiMXi58+fl5SU5Obmfvr0yZhakfOIxeKwsDChUGhMUycfqJPGcby9vd3MzMzU1PTRo0ffq6pVKlVpaamJiUlBQcFabVvnjPBTJpMdPHhQ+4QdPny4r6/P09OzuLh4ZWWlvb19w4YN27dv/5dMERiEgzb+fQSQpP772KKS/yQB4+03BgYG7OzsMAyLjIycmZlpa2vbsGGDj4+P8SMZKpXq9u3bdnZ2HR0dMzMzQ0NDXV1dTU1NlZWV165dKykpEQqFW7duxTDM399/dHTUIBexWOzu7s7lcuvq6uATK5fLjxw5gmFYXl5ea2srn8+3srJ6+fLl2bNnMQw7duzYWgpeLpdnZGRwOJzGxkZCq62url65cgXDsJCQkJcvX/7ar7jBK/qv3vj+/Xs7O7tNmzYR44hzc3Pbtm3j8/kXL14UiUQE2LUuUyKR7Nq1Kysra3l5WalUikSi0tJSPz8/UNLQGAoLC1+8ePH161eDhSiVSqFQaGJiEhMTQyiA169f8/l8Ozu7V69eHT58GMOwzMzM7u5ue3t7Kyurnp4eg0VpNJru7m5zc/PY2FjyYPbIyAi0OoFAMDc3t9ax/+btOI4/fvyYzWanpaXNzs6q1er6+noWi0XcRyJx4MCBxcVFI1mp1era2lo2m83hcGpra9d9HmGqCgTu8vLyzMzMx48fe3t7nzx5cufOnfz8/Pj4eE9PTzMzM6I+RCIwMHBqaoqomFqtHh0d7f32193d/ezZs6qqKoFAsHfvXjc3NxqNRhyo8w4hSviuxMTExObNm93d3dcaUKAoTaFQ5ObmMhiMmpoaY+T44OBgUVHRly9flEplfn4+k8msra3t6+uztra2srLq7Oxsampis9lBQUHkbipFBdAuROC7CCBJ/V24UGbDBERjS8b/M1zET2yFj01fX19TU9Pt27fz8/NTU1O3bNnC4XCuXbtGPcqiUCjOnDkDslXy7S8nJ8fExOTy5ctkqwnq2uE4/uTJEw6HQ3yKDCZoNFpJSclaYy0qlaqqqorJZHp5ecHrfnp62t/fH4a+CgsLMQwTCAQjIyOBgYEWFhYdHR1rqTqQ1JaWlr29vUTN5+fnd+zYQafTb926te73mzjqjydWJ/q/69+vqjDogODgYGLGub+/38bGJigoqKOjQ9vDqaqqysvL0zEOIZ9dKpXu379/w4YN/v7+TCaTaBIBAQGlpaWjo6Nr3T5yIdPT08HBwSYmJtevX1epVGq1+q+//qLT6fn5+f39/Zu+/Q0ODt65c4dOpx86dEgqlZIPJ6dBUh87dox4InAcb2hoYLPZvr6+/10K48v3/JEh/ECakNRCoXB1dRXH8WfPnnE4HFdX17Nnz967d6+jo0MoFDIYDKFQ+F1PlkQiSUlJwTDswoULxrxtRkZGQkJCiIZkMEGn0+3t7cPCwtLT0wUCQWVl5dOnT8VisU7FRCIRuXdHLsrKyiogIMDc3JxOp5eWllJUTCwWx8fHEy8ZlUrV0NBw69Ytna7+zMzM1q1b/fz8iG6hzl1QKpWPHz8eHBzUfyLm5uZCQ0MdHR1FIpHOUfo/cRx/8+aNvb19ZGTkhw8fhEIhm81ubGysqalhMpmJiYlTU1PQRy0pKdEBol8a2oII/AABJKl/ABo6RJfA6fIPTrtbjfm3I2/NUTTdQg39Hhsby8zMjIiICP/2FxIS4uzsTKfTyZ8EctrExCQnJ2etoSMcx7u6uiwtLb28vGAE5cOHD87Ozi4uLjpmFWCNNzY2pv/Sh2q2t7ebmprSaDQ7O7vQ0NDU1NT8/Pzbt283NTV1dXV1dnampKRwudwXL14Yuqz/2ba4uJiYmLh79+6vX7+CVfeGDRvS09NFIpGvr6+Hh8fw8HBzczOHw8nNzaVYsiOXyw8ePLhx48a3b99C0VAajGC5uroODQ1RVOMftWt1ov/LQXMj/61O9P9M5dVq9eLi4sjIyLt3754+ferp6cnj8fbu3btz587w8HBXV1dy0yLSycnJBrUCGIpANhcXlxMnTlCbOxusOY7jzc3NYB6A47hUKk1NTeXz+W1tbWVlZQwG48qVK7Ozs/Hx8TY2NsTtNlhUZ2enmZlZTk4O0XKgNO2Mh4mJSWFh4VqdPYOl/dmN9fX1N4z7a29v/8mq4jj+6NEjFotF6DAtfB6Pl5yc/Pz58+rq6tTUVG9vbxqNdvPmze8Vat3d3e7u7tXV1X19fU+fPi0vLz916tTWrVvd3d0bGxv15ez09HRCQoKJiYm9vX1MTExBQcGdO3caGxvb2tqOHz+OYZi5ubmRFmvj4+MpKSk7d+7My8uLiYnBMCwsLAx6VnNzc+Hh4R4eHtTjysPDw5s2bUpOTq6uri4tLRUIBE5OThiGXbzdIQThAAAgAElEQVR4kVzzmZmZoKAgf39/g4+JRqNZWFhITEzk8/n3798nLyjEcbylpYXH42VkZOjI9LXuqUqlunXrFoPBsLOzCwsLY7PZ1dXV+/fvt7Ky6urqWlxc3Llz54YNG9rb29d6k69VMtqOCBhDAElqYyihPOsQ+G2SGsfxgYGBLVu2gFKh0+lOTk4BAQFcLhfDMDc3t9LS0oaGhpcvXw4ODk5PTxPqweAFwKucxWLV1taq1Wpinj05Obm9vf3x48cVFRXnzp2LiIgwNTXFMMzR0XGtFUigVy5dukT+JBAnVSgUeXl5pqamHR0dxEb9BEj8R48eqVQqpVJ54cIFmHitra1lsVgXL15cXFw8evSoubl5Z2cnxSdBJpMlJyfb2tr29vbOz8/jOL68vHz8+HE6nZ6UlGRpaZmamiqRSPQr8A/c8ndLahzHxWJxZGQkIZEpEgwGIzY29uzZs9evX6+urn78+HHHt783b96QNQRglEqlSUlJ1tbWvb29FDdrXeZLS0u3bt0COTI0NOTk5BQfH//hw4fw8HBnZ2eRSNTd3W1hYXHkyBHqdZPQ69Pqp5mZGXgu3rx5s3Hjxk2bNkVHRxsvxdat8G/I8JslNVh6FBQUDAwMdHR0PH78mMfj6bQTBoNRVVVl0DgBptFEItGzZ8/u3Llz8eLFjIyMmJgYEKA65ZB/7tmz59OnT8Y0npGRES8vLxqNduLEieHhYYPVWOu+rK6uCoVCDMPOnTu3srKC43hra6upqWleXh71+3N6elp/qNvBwaG//3/1bNeV1BqNZnh42MfHh06nFxQULC0tQVUJA7bHjx8TEMAMvaKiYi2RPTc3FxER4ejomJiYyGKxsrKy+Hx+YGBgZWVlb2+vg4NDUFAQWkyyVmNA23+SAJLUPwkQHf7/Efhtkhpwz87Odnd3w1JujUazvLyclZWFYdipU6eoVQX5bqlUqoqKCgaDsXnzZhibGR4e9vDwIH/SyGkTExNHR8fMzEyDYy0gqQUCgb600mg0CoUiOzvb3Ny8u7ubXAf99KdPn0pKShYWFiYnJ/38/IKDg0UiUWJior29/cDAgFgsdnFx2bVrl8Fxd1iWNDIy0tHRERwczGAwtm7d6uXl1dLSMjg46OTktHXr1rGxsVu3bvF4vMrKyu8dUdOv7W/Y8ndLariEpaUlgUDA5XI9PDxSUlIE3/6cnZ3t7e27uroUCoXWdFVrBBIbG7uwsGDkVUskkoSEBDs7u/fv3xs8RCqVvnnzpr6+vqCgoLCwcC1TZqVSeffu3ba2NqVSWV5eDmtYm5ubeTzemTNniJo/ffqUkB3k0ymVypmZmcHBwdLSUhaL5eDgsGXLliNHjkxNTZ0/f57BYFRWVoI1UUhIiI4/EHI5/6j03y2pFQpFT09PR0dHQ0PD1atXd+3aRbwKWCxWTEwMi8UKDw+vqalpa2t7/fr18ePHWSzWgwcP9G/ByMjIzp07icN1ElZWVkFBQS4uLiEhIUKhsKqq6vHjx52dncPDwxQ2PDr3QqFQnD59GsOwPXv2kA3ldbKt9VOrTQ8dOsThcGB9NnS/zczMOjo6VCoVhUdRsMpgs9n79+8XCASnT5/m8/lbtmzRaUU6knpxcVH/0nAc7+7utrW1xTDszJkzIOUHBwft7e0DAgKmp6flcvno6GhfX19HRwfwPHToEPHIqFSqnp4eWLhSXFy8fft2Ho9nbm5Opk2n0318fGg0WkFBAbyllUplf39/RUUFYdy1FiK0HREwkgCS1EaCQtmoCPxmSa1TFYVCceLECVNT05cvX+rsovgJThIwDPPx8ZmamlpdXYV1/fAWZrFYaWlpZWVlTU1NfX19MzMz1AK0q6uLz+cTL2ud88rl8sOHD2/cuNGgQwCpVCoSiRoaGkpKSqKiojAMy87Orqio4PF4ZWVl7e3t5ubmubm5MplMu96Rw+Hor9SBwXv9ESO4Fu3ouKurKzEYL5FI0tLSnJ2dBwYGdOr5D/z5eyS1/oVr1295e3vb29uDEWdfX5+9vX1FRQUYNHd3dw8MDOjrJ3I58/PzUVFRjo6O/f39ExMTPT09cItTUlK8vb1hXoX8yd+8efObN2+gTJVKNT09/erVq7/++guUip2d3aNHj7Zv3+7r6ysSiY4cOQKWHtPT04GBgaGhofqyQC6XX758mWzGTT6dm5sbj8fbtm3bzMwMOOyzsLDIz8+nHpgkX+AfTP/dklqj0QwNDfn7+5OJYRjGYrG8vLzABMjNze3AgQPR0dHbtm3buHEjrBg2OPkjl8tv3rwZGhqalZVVXl5eU1OzdevW/fv3gyJc/uYnjs1mX7hw4QccXKrV6oaGBh6PFxAQYPyKavK9A8nr6uo6PDys0WjEYvGmTZt27NgxMzNTVlbm4uLy4sULg019fn4+MjLSw8MDzgvLD9aS1B4eHm1tbY2NjQcPHty5c6e+SYlKpaqpqWGz2QkJCSdOnGhoaBAIBGCVRF4xCXfExMQkJSVlaGiIqNji4mJ2drbO/cIwjM1mb9u2LS0tLScnx8XFBZYFx8XFOTs7m5iYQP6EhAQ0bk1uEij9wwSQpP5hdOjA/xD445I6NzfXzMyss7PzP3WiTMlkMuL9C+tmQGHb2to2NzdHREQ4OTmJxWLKMv7XztevX2sX9Jw7d05nlBocjywtLSUnJ9vZ2ZH9l2k0GrlcLhAIdD4YJiYmGRkZcXFxnp6e79+/P3XqlKWlZXd39+Li4q5du7y9vdf6cM7NzeXk5AQGBtrY2GAYZm1t3dra+vXrV7DX3LdvH4xt4zje2dlpZ2dH9iPxvy7mn/TjT0lqlUpVVlbm4eHR398/NjZWWFi4YcOGEydOlJSUXLhwwd7eXuuApb6+3qCdD/AzOC1OfPItLS2joqIOHjx4+vTpq1ev1tfXv3r16sOHDysrK/39/e7u7kROSDg7O1+4cMHMzKykpKSnp8fW1jYzM1MqlT558sTU1LS0tNRgl0+lUrW0tISFhfn6+jIYDAzDsrKyJiYmFhYW8vLyrK2tW1paQJRIJJKcnByyw5l/UivQrctvkNQajWZycvLkyZMFBQWxsbEMBuPu3btqtVoqlV66dEnnmQUj5sjIyLa2NmqjCzCO5/F4bDb7/v37arUa/CqClZelpSXFglddCt98I/b09Njb22MYFhcXNzMzI5fLDbYE/WOJLX19fVZWVtu3bxeJRBMTE6mpqTpt7+jRo/rjyoSzTh1JbW9vX15efufOnYKCguTk5MjIyMDAQP1+3aZNm16/fk0IYqiMTCbLy8vbsmWLubm51s+3l5cX1IRGo23atCkpKenUqVOenp7Qe9Gvklwuv3fv3oULF3x8fMiX4Onpee3atba2NqJA2MvhcLy9vfft23fx4sXOzs7v5UYARAlEgCCAJDWBAiV+nMAfl9QnTpzg8/lGSmpiOGT79u0uLi4BAQGfPn06ffq0iYmJUCicnp6GtWgfPnwYGRl5/vz59evXDxw48PbtW50PAJkXYc/a29vb0tJSVVV16dKljIyMoKCgjRs33r17Nz4+3qBMl8vlFy9eZDAYoaGh4GjvwIED/f39mzdvTklJmZiY2LVrFyxMnJyc1HpmiIyMpJ7blUql6enpGIbB6WZnZ3fs2MHlcktKSmprawsKCiIiIhgMBozQJCUl/cOHZ36PpFYqlWKxuLe3t6Oj48GDB6WlpZmZmYTJPvnzTKStrKwePXpEIak/fvzo7OzMZDK1LsyioqIyMjLA0L+vr28tr3nQoiCajzbekJWVVWJi4oZvfy0tLVoDbnNz85cvXz558oTH412+fFmhUNy+fZvL5Ro0OSDaJ47jr169gsWpAoFAoVDU19dzOJzIyMiHDx/evHnz8OHDdnZ20CT+K3xU/x5JDQDBRSabzb5582Z5ebmjo6O3tzePx4uOjn706NHbt2+JKSy1Wj08PEw90iwSiaC/lJycPD4+rtFoZDJZWlra/v37Gxsbwbo6MDDQSDeX79+/B4mJYRiTydT2rNLS0pKSkoaHhyleVkTD0Gg0arX67t270N06ceLEyMgIWLnw+XxoMDExMfoTIFACzMN4eHiIxeIPHz6cP3/eoAs/eGTYbPauXbtyc3OvXLlSX1/f19enr4k1Gs3IyMjmzZtDQkJOnTpFo9GCgoLCw8Ozs7PhNdXf3+/g4BAREWHQ+g4up7m5ecOGDba2toGBgTCxQFQAw7Dk5OSWlpbi4mImk+nn5we3gAwEpRGBnyGAJPXP0EPH/g+BPy6pc3JyzM3NX79+ve4tgSWANjY2UVFR2kgcAd/+amtrLS0tY2NjZ2dnwf0woZyIhJOTU3d391ofqp6eHgsLCyKzToLBYDCZTFdXV/3pTggssry8PDc3FxkZuXHjxu7uboVCcfbsWUg/fPiQw+FcunRJKpUWFhay2ewHDx5QjIS9ffsWRqkxDEtMTAQvXTr1gaWWfD4fwzBLS8uwsLDs7GzCMHFdhr8zw++R1GDK6ebmpg8KwzA+n79///68vDyhUHj58uX9+/ebmJgcPHhwrQVSwEdrJ21lZRUTE2PQ8B3ywDpUgzzlcrlSqbx//z6LxTp27JhMJhscHHRwcMjOzh4fH4+OjnZ1dRV/+9u0aVNUVBSFkgPnvnBplpaW+fn5MK6pc7E8Hs/FxcXExIRGo/n4+OzYsUMbao6ipRms9u/Z+Jsl9Y0bN6C/weFwioqKJiYmbt++ffny5erq6mvXrgkEgvT09ICAAHCjGRQU9PHjR4McxsfHt23bhmFYRkYG0a0CZ4ssFqu6unpwcBA6ctHR0eta7Q8PDwcEBDAYjIsXLyYnJ1tZWfX29g4NDQUHB3O53KKiIuq+N9RQLpcfPXoUWkJgYODExMTc3NyLFy/Gx8cjIiK4XC55aaDORUFIKZ1WZG9vf+DAAQaDkZyc/OrVq+np6YmJCWqPH0Sx4NWRx+NlZWW5urq6u7u/fv06NjYWw7D4+Pjh4eGsrCyKeDpKpbKurs7MzMzZ2bm8vNzb2xumAm7fvg3ryxkMRmlpqUwmKy4uBofu1I8wUTGUQASMJIAktZGgUDYqAn9cUhu5+E+j0YyOjvr5+Xl7e4vF4qmpKT8/P0dHRx8fHzc3N7CanZubCwsLwzBs69atJSUlra2tvb29YrGY8OZrEERvb6+lpSWfz4+MjDx69Oi1a9dqampaWlp6e3unvv2FhYUR6yANltDZ2cnn80NCQiAoQ09Pj5WVVXZ29tjYWGRkpJOT0+DgYH9/v52dXURExFryd2Vl5dy5czofubNnzw4PDx8/fjwwMPD+/fujo6NTU1NnzpzZtm0bnU7n8/naSH6HDx9eq0yDtf1tG3+PpIbLGR8fz8nJOXTo0JUrV2pqalpbW2tqaiwtLZOSkogRNbVarfUDQ6fTz58/r2PkQ2aC43hjYyObzT5y5Mj9+/efP3+uP60MQTcTEhIMdrRg/DI9PZ3JZFZVVcFCsaysLOhogdTOz8+XSCSnT59msVh1dXVryV/Q4uRW4eTk1NPTo3UG7O/vn5OT09vb++XLl2fPnu3Zs8fGxobFYtna2vr7+2stX9cqk3yxvz/9eyQ1xFI9efIkBHYxGN6FTBXDMA6Hs3nz5ry8PP2naWxsDPQ0GPheunQJ2s/Hjx/BODs2NnZsbEwkEnl7e68rqUdHR0NCQhgMxtWrVxcWFshLNebm5jIyMkxMTGxtbWtra6mN4ycmJrZs2eLh4XH+/HkOh5Oeng4ePB89esThcGJiYih0OYxSYxgGsbH8/PwYDEZAQMDg4GBCQoKrqyu8UXWWJ1K0lvn5+djYWBjv4PF4jY2NExMTvr6+Dg4OIpFIIpEIBIL6+nr9R0mj0UilUoFAwGAwwsLC3r59m5OTg2EYj8d7/PhxX1/f/fv3N2zYgGGYp6dnb29vXFzcL4liQ3EtaNe/kwCS1P/O+/6Lr/rPSurlbx4/LCwsKELHwQXjOP7u3bvk5GTwhTc5Oenj42NlZbVr1y4iKDQsYycMBI0kBZKa7PSXfCAEbQkICPj8+TN5Ozm9srJSWFhIo9GKi4uVSuXXr1937doF+glmZnNzc+fm5g4fPkwsNCQfDun+/n77b382NjYw3GhqavrgwQOFQtHc3Ozo6AgBYmZmZrZt26adwv5J/276FfjlW36npNavvEgkcnBwIEtqpVJZUFBAp9MrKysp5KZSqRQIBHQ6vaSk5PDhw1ZWVmVlZTU1NZcvXz5+/HhiYmJERERwcDCMa67lwkWj0YhEIrdvfzCV//TpUy6Xe/z48ZGRkeDgYFtb276+PuiMwUJD/UsAdxCEuwNw4p6YmAgW1QkJCenp6VKpFKyhWCxWXl6e8W5z9E/3e7b83ZJapVINDAxkZGSARQSI4Nra2jt37lhYWLi7ux86dKiwsDAqKopOpxcXF4+NjX39+nWt9oDj+Pv37wMCAuh0elpaWkREhImJCfTqlUrlpUuXMAw7cOAALG2EpcaFhYWELzkdpDiODw0Nbd26lcFgXLt2bWVlReuUIz093dramnBMvrKyUl1dDWYYO3bsEIvFBqfXIIoN+LlfXFwsLCyk0+mFhYUTExM7duxgsVj19fVrXZS+LfX4+LinpydEaqyrq2OxWOCs00hJjeN4U1MTl8t1d3fn8/kQFQveq+CJUocD+efc3NyBAwdoNNrJkycXFhbAhwlM0zU1NVlaWnI4HDMzs+joaFNT02PHjllYWGzevBlZfZAZovQvIYAk9S/B+G8v5I9L6qNHj+oECzTmlkxMTHh7e4eFhZGHlGZnZ0NCQiDMwdzcXH9/f0dHx+3bt8+fP7+WAZ9Go4FZ/uPHjxscExofH9dGk9E5kX4NweswuE1VqVTl5eXgqPXjx48+Pj6WlpadnZ2NjY0cDic4OFi/MlKpNCMjw9TUVOsWLSwsDBa0OTs78/n82tpacBG4f/9+baDsxcXFHTt2mJub//NDHvxZSQ1hyffu3Ts/Pw9jijBNv657GYhGzufzOzo6SktLCd8COoOaGIZxuVxy3HidVgHuyRkMRnV1tVqtnpqa8vf3By8iZWVlNBotMzNzYmIiNjaWGMwmlwBLUS0tLXfv3n3z5k0mk3ns2LHY2FgrK6vIyMjJycmSkhIzM7PW1la1Wg3D6unp6WuJOXLJfzb9d0vqpaWlkydPwl0LCAiIjIxks9lgAiEWiz08PEpLS+VyeWlpKZ1Oz8nJqaysPHfuXE5Ojv7SYaVSWVNTw//2V11dvbKyolKp6uvreTyel5dXeXm5nZ2dpaVlV1cXWfVCmEZ9yLDe1MbGBvQ0vG1kMllqaqqNjQ3ZIbRarX7+/Lm1tTWGYXZ2doTaJpcpk8mOHDnC5XJhlapEIjly5AiLxQoODgYf9hQ2S/qSemxszM3NLSQkZHZ2dnx8fPPmzWClNj09bYzhx+LiYkJCgrm5eXNzc2trq1QqVavVVVVV0KvZv38/YSpDvgRIf/78OS4uLiMj49WrV729vU1NTWDC5OXlRfhFzcnJEYlEmzdvhmcwbz2v2/pnQVsQgXUJIEm9LiKUYX0Cf1ZSQ0QAKyurN2/erF9XUg4YVgkPDyfboYIHYn3pg2EY4feKVMb/JPv6+jZu3JiVlWXQPmRkZAT8UlF/osbGxjw8PMCpH7jxcnJycnNzGxwcvHDhArhrGB4eDgwMZDAYOq70cBx/+vSpqanpmTNnxsbGQkNDYdmQ1sHtnj17/Pz83r9/f/DgQR6P19LSAvbWFAYk+hf4p7b8WUk9ODhoa2u7Z8+e8vJyPz+/xsbGkZGRgIAArSNh8Di2Fpbh4WFtlEoYsYNJhri4uOrq6ubm5s7Ozt5vfxCg0dnZmaIolUp17do1Go0GYeSVSuX58+dhHW1/f7+zs7OlpeXr16/BFgXUDLlKi4uLSUlJjo6OfX19EJb56tWrnz9/bmxsNDc317pIa2trMzMzg1Wqp06dojYgIZf8Z9N/t6QGq5uqqqpHjx5JpdKioiIOh9Pc3AyBgZycnLhcbk1NTVFRkc6LIiQkRMeMRyKRaK2q4uLiyEPFKpWqrq4OHCmamJhojaENdsV1IMNqVA6HY2tr29jYSCyNlclkBw4csLW1JUtqzTd/IK9fv3ZxcSF8QeoU2Nvba21tvWPHDuIFOD09HRERgWGYvb29QY+f5BLAlpqY0BseHnZxcYHXKZjvQ1Cqz58/ryWp5XL51atXnz17trq6+vTpUx6Pl5SURDgi1E6epKWlQUAAJpNJ4Up/ZWWlrKyMwjInPz9/ZWVldXX1+vXrNBrN3Ny8q6uLfC0ojQj8EgJIUv8SjP/2Qv64pCabEhp/M2BYRceHBkxTwpeSz+fHx8cLhcK6urq2traOjg7yd5F8ordv327cuPHo0aMG17vAYCfZfoB8LKSJoGVHjhyBQogBUTg1n88XCoVyuVwbEoLP57969YpcyPT0dOi3v6mpKbgEb2/viYkJsP1lMpmXL1++ceMGjUbbtWuXQCBgMpngZZlcyD8w/WcldX9/v42NTXJycl9fH1jYm5ub02i0uLg4it4RjuOErbNCoWhoaGCxWIWFhYQGAs7Qo9u6dSuF0xWJRLJ3715CAYADaVNT0wMHDnz+/DktLU07Ljj87c/V1fXgwYNkmw2VSnX37l1TU9OqqiqIF8NkMm/cuAFOrwMCAry8vNra2nx9fU1NTcvKyjZv3hwYGKg/+/EPbBW/QVITVw02PBwOB4ZyW1tbeTxeeHh4d3d3fn4+hmEBAQHZ2dnwlujs7JyeniaPN2u+RXrSufUajebz58/h4eEYhjk4OOj41iROTU5MT0+DeztwBETeBS8Krfm7wXKGh4fLysoInUocKJPJMjIyeDweOUjQ+Ph4SEgIhmF+fn46fQPiQCIBklo7yl5XV1ddXX306FEulxsbG7u4uIjj+MuXLwUCgVwupzD8gP4Gg8E4evRoaGgomJoQ9AYGBuzs7Hx9fbu7u8GxqU6fgagJLPJubm4+cOBAeno6n8/fsGFDQ0OD1vmSdqYIFvKCP5CamhoIeGSQFblAlEYEfoAAktQ/AA0dokvgj0tqMCV89+6dTs1WV1c/ffrU39+v/0kDh03gLYG8BOfz58+BgYGgR3VKo/j57t07a2trQg3r5Ozt7bWwsEhPT9cR3DiOj4yM3Lx5MyoqCvxvQAi0hw8fjoyMKBSK4uLi5OTkxcXFiYmJlJQUkUgEU/kZGRlkhwDgCcvZ2RlcvU5PTwcEBPj4+EAYs8HBQTs7Ow8Pj1u3bpmZmaWkpISEhLi7u3/69Emnnv/An39WUsNtTUlJkclkX758Ae+EGIbl5+dTrE2USCTJycmgg3Ecf/78OZfLPXv27MrKCpkw3JekpCQdQwuZTNba2nrs2DF3d3cwfba2tr5y5UpXV5dEIhkeHt66devTp09XV1fLy8uFQqFSqZTJZLm5uU1NTYQc0Wg0MzMzoaGh2dnZMIdeUVHBZDJhtHtlZeXMmTMmJib5+fn79u2zt7c/efIkl8u9cuWKwSeFXO1/Qvo3S+rz589zudzW1taVlZWCggIMw0xNTYVCYWZmJmwnYzeGz+Li4sGDB4kR7vDwcH2LEXI50JXy9vaura3Vb3hSqXTPnj0UcTrJRUFarVY/evSIy+WmpaURS29nZ2fj4+NpNNrWrVvBxyJ1/+rLly/QKyAuBF5fUODKygo0bApJrdFo5ubmkpKSoAStk1AIZAv9kLy8PBMTk5KSEqVS2dLSYmpqmpKSot83IF8dWIdzudygoKDnz5/HxMTQaLSbN2/CikZyfFwYtyYfi9KIwM8TQJL65xmiEn53QHIgrlQq5+bmhoaGOjo6tm/fDit+wsPDt23bFhAQ4OjoyGaz4U1Np9PPnDmjP6wIM5U6i+tBj+rHAKO+zTCceejQIRDNKpVqcXFxfHx8YGCgsbFRIBCw2Wz9xYtKpbK6uprH42EYtmnTJgcHB/LHicvlurm5Xb16dWZmZnl5eWRkBD4MEolkfHxc5ys+PT3d29sLGaampnx8fCCEjUajWVxcjI2Ntba2rq2t3b9/f2VlpbW19enTp42Za6a+6t+w989KarDnSU1Nhdu6sLCQkpICxjM6/AkUMD5nZmaWkZEBY8bd3d3m5ub6dvYdHR0QPkbnRoyNjYHjMB6PBwap5FZhb2+/Y8cO8LQ4PT0NPSu1Wj06OkoeotZoNKurq11dXbBOAJwrM5nMv/76C8KLNDU1cTicrKwsoVBYUFBw9OhRCHpPXMg/OfF7JPXs7OzExIRCocjPz+dyuc+fPwcHFGw2G9xHgE+J7wraCuPT+/fvBxPnJ0+egEd8f3//oaEhCuYqlcqgUZlGo1laWtq9eze4xaAogbxLLBZ7enp6eHgQJ52ent61a5eJicmZM2ckEklNTQ2Hw0lLSyNsQsiHQ1osFjs7O7PZ7JSUlEuXLuXk5ECL0qkntaTWaDRTU1NgbVJUVAQdBvCkrl0e4+3tPTo6ClGx8vLyOBzOw4cPKVZMyuXyCxcugPk1PDWmpqZXr16dmpqCEXEajaZdgLt3715Y2qt/UWgLIvAzBJCk/hl66Nj/ISAaWzL+3w9QUyqVFRUV+jGcyVKDSIOpnHayLygoKCEhISMjIz8/v7CwsLa2VmeQWCwWOzk56XgOBu8cvr6+4MzOyNpS+6WGugkEAv0RJhzHP378SEjkr1+/dnR0CIXCmJgYoktAePSDUed1qwSRgQMDA8HByOrqamlp6ZUrV+bn51+/fi0UCq2srMCH9+rqqkGPVOue4rdlWJ3o/65/v7ZiEFiO7IJ6Zmbmxo0b5PWsOmdcXFyEIUPCFHVgYMDW1lbrSbqjowOsqHt7e3t6eoqKihgMhsFWsbS09O7dO5Amq6urw8PDNTU1WVlZWneHRDs3NzdPT09vbW3Vb1Q6VYJp8bKyMjBIBUXy6dOn5ORkkUg0NDT08uVLLy+vjIwMre8IHMd1RtP1S/vjW8Wh7pUAAAl2SURBVL58z9+P1XZ1dbWkpARcTxw5csTU1PTFixcgNG/evDk/Py8UCsFhS1paGjG2Sn0uHMcHBwchzrm9vX1nZyeO4zKZ7Ny5cyYmJi4uLhSe7ylKlkgk8fHxDg4OhD6myAzTF3FxcRYWFm1tbfi3P5FIBA5JLl68CB0zpVJ5/fp1BoMRFxe3lp8iGPQlbKnn5uZiYmLKy8tVKpVCoQCP3XNzc58/f966dau/vz/FmLdIJIqPjyfsOj5+/LhlyxYOhwMBJuFyRkdHN2/e7OnpuZbbb+KqZ2dniQkleF7AMyaDwUhMTJybm+vs7DQ3N09NTdWZICJKQAlE4McIIEn9Y9zQUb+bgEqlevbsGRHExNraOiQkZN++fTk5OUKhsKamprOzUxtN97umrUUikb29/c6dO8lryUdHR93d3ak/ADoXr1Qqi4uLwT8An8/39vaOiYk5cuRIfn7+5cuXi4uLo6OjiRVmOsdS/FxeXu7u7hYKhSEhIWAAQKPRIiMjCwsLS0pKhEJhdnb2sWPH9HV2X1+fra1tcHAwYaT79etX0Gdg/ujr69vS0vLw4cPjx4/v3bt3LQNxirr9S3bBADMx+bDuVatUqqqqKg6HU1paSjRFkNSEFNZJ8Pn8xsZGIzs2OI5PTU3dv38fFg9AURs3bszOzr7y7a+goCAlJaW2tlanQLlcfurUKcJziEajUSqV8/PzoKgePHjA4/EuXbr04sWLmzdvRkdHl5eX64w1rnvt//cySCSSrKwsgGxlZVVfXx8YGBgTEwMdKhzHP3z4kJCQAI6ZhUKh/jwYmYlcLr916xYMb4PzZmKiY2lp6dixYxBUyKDdM7kcnTSO4y0tLVq3LQaDs+pkBjcdYJUErU6pVN67d4/P53O53IqKCnL3DNoMhmHW1tYCgQC87I+MjBCDxCqV6q+//oqMjATNjeP43NwcMU3X2trq6OhoY2OTn5/v4OAQEBBAIalxHCec6oyOjoaGhtLp9KKiInIjVKlUsLgwKCjo/fv3BD2da5TL5SUlJSwWy8XFpbq6+vjx46xvf3Q6XRuLEQxslpaWUlJSoENLtqDTKQr9RAS+lwCS1N9LDOX/kwTkcrmOVvjh2qhUKnBDlpCQQNjnQYQODodDDPEaWT6snScPZxIH4jj+6NEjCwuLJ0+erPUZIDKvlZBKpa2trfv27QNtTciygIAAHStMwprQz8/vyJEjRE6KxLre/daq1f/t7bAuDcOwtUzkdS4fx/GOjg5ra+ujR48SLUqlUt25cwdC6iQmJh49evTs2bOXL18uLy+/f/9+S0tLZ2enSCQiSxmdYtf6qVarR0ZGrl275ujoSL65hME0+cCFhYX4+HgGg5GbmwtRr8mH6KeZTGZtbe0PN1fyqf+r01++fNm9ezf4OvT09LSysoKhZeKilErlo0ePwGSLx+MFBweHh4dHRERcvXqVsOdZXV1tb2+HZX/g+VvfmmJxcTEjI4O4ETY2NlpnmjExMbAmkjidwYRYLN60aZMxkhqMWGxsbJ49e6ZWq2GFBoZhQUFB796907/dMzMzYJJBVCwtLY081wcRiAzWCuJqRUVFwbHGvGSIUXwWi1VaWkoAJMqfmZmBVcJ0Ot3X1zc8PDwvL4/oyaysrDx9+tTPz8/ExISYOlAqlbdu3WIymcHBwYRrHcIhN4Zh4LL96NGja8VdJ86OEojAugSQpF4XEcrwf5bAu3fv7OzsEhMTydN/79+/1/o1CwkJoZjc1ycCXpzu3LljUBuNjY1duXLl51/ZarW6ra0tMDAwPT29rq5ufHycGDEiV2lxcTExMTE8PLynpyc6OhrDMBqN5ujoqP06Hj58WCAQVFdXd3R0DA0NTU9Py2QymO4nl4DS4IOst7fXxsZmLUcuOpTGx8cDAgKSk5N1BNPExISfnx+scdQ55Jf8XFxczM7ODgsLKyoqev36tY5FNZwCx/Hm5mYLC4u7d+9WVlaCDZWpqamPj8/u3btzc3Nv3LgBceZGR0cXFhaWl5cNtuRfUuH/rkJGR0chSDiDwbh58yYx+UC+ipmZmWPHjhFBy6Oiourr65VKJY7jIpEIZCWbzT516hRFeJGvX7+S+8AsFsvb2xs895HPpZ8G5+Wenp7r+ugAo+QvX74olcqmpiZbW1sul1tSUkJ+AZLLh9hYQqGwrKzs/v37L168II9Sk3OulZ6bm0tJScEwjLwO0mBmiURy/fp1U1NTa2vr5uZmg0MnhLd+DMNMTEysra0zMzMXFhZWV1cbGxvd3NzAV0lbWxvcpq9fv549e5ZOp+/bt4+YsoOzi8Vioi9qZmaWnJysk8FgJdFGRICaAJLU1HzQ3v/LBFZWVsrLy+/du0dWD6urq9XV1YWFheQ5x/8uChCAraGh4Z9vFPsPB6tUKi9fvnz16lVyC1mrzjiOLyws6CtatVr99u3bzs5OgyphrdJ++XaZTFZbW2uM6vrlp/6vLhDixh8/fly7upfinTA9Pf3ixQtwW0lcL6xV9fLyKi4uNkaxSaXST58+ffny5XubyuzsbF9fn0G5T1SGnMBxvL+///z58x8/ftQfnCbn/Pn03NxcWlqajjsa/WI/f/4cGRl56NAhiiaK4/j09PTU1BR5pByWCtTV1WVlZXV1dZEf1ZGRkbCwMIFAQHg1Ic4rl8vH/l+7doyCQBAEUfT+59wDzFxgBgNhg1WQASuqlymsDf06+ajXNcb4+q3E/ZgXBI4EJPURl4cJECBAoEtgrXXauF1Av7adc37+i+Pxob33338ue88UzQ9qb3MCkjpnazIBAgQIECBAgECFgKSuOLMlCRAgQIAAAQIEcgKSOmdrMgECBAgQIECAQIWApK44syUJECBAgAABAgRyApI6Z2syAQIECBAgQIBAhYCkrjizJQkQIECAAAECBHICkjpnazIBAgQIECBAgECFgKSuOLMlCRAgQIAAAQIEcgKSOmdrMgECBAgQIECAQIWApK44syUJECBAgAABAgRyApI6Z2syAQIECBAgQIBAhYCkrjizJQkQIECAAAECBHICkjpnazIBAgQIECBAgECFgKSuOLMlCRAgQIAAAQIEcgKSOmdrMgECBAgQIECAQIWApK44syUJECBAgAABAgRyApI6Z2syAQIECBAgQIBAhYCkrjizJQkQIECAAAECBHICkjpnazIBAgQIECBAgECFgKSuOLMlCRAgQIAAAQIEcgKSOmdrMgECBAgQIECAQIXAC13XUkhpE0lOAAAAAElFTkSuQmCC"/>
        <xdr:cNvSpPr>
          <a:spLocks noChangeAspect="1" noChangeArrowheads="1"/>
        </xdr:cNvSpPr>
      </xdr:nvSpPr>
      <xdr:spPr bwMode="auto">
        <a:xfrm>
          <a:off x="0" y="0"/>
          <a:ext cx="5943600" cy="407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194310</xdr:colOff>
      <xdr:row>4</xdr:row>
      <xdr:rowOff>7620</xdr:rowOff>
    </xdr:from>
    <xdr:to>
      <xdr:col>13</xdr:col>
      <xdr:colOff>499110</xdr:colOff>
      <xdr:row>19</xdr:row>
      <xdr:rowOff>7620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activeCell="H6" sqref="H6"/>
    </sheetView>
  </sheetViews>
  <sheetFormatPr defaultRowHeight="14.4" x14ac:dyDescent="0.25"/>
  <cols>
    <col min="1" max="1" width="23.6640625" customWidth="1"/>
    <col min="2" max="2" width="41.33203125" customWidth="1"/>
    <col min="3" max="3" width="23.6640625" customWidth="1"/>
    <col min="4" max="4" width="19.5546875" customWidth="1"/>
    <col min="5" max="5" width="18.33203125" customWidth="1"/>
    <col min="6" max="6" width="43.33203125" customWidth="1"/>
    <col min="7" max="7" width="18.33203125" customWidth="1"/>
    <col min="8" max="8" width="19.77734375" customWidth="1"/>
    <col min="9" max="9" width="22.5546875" customWidth="1"/>
    <col min="10" max="10" width="15.88671875" customWidth="1"/>
  </cols>
  <sheetData>
    <row r="1" spans="1:12" x14ac:dyDescent="0.25">
      <c r="A1" t="s">
        <v>16</v>
      </c>
      <c r="C1" t="s">
        <v>106</v>
      </c>
      <c r="D1" t="s">
        <v>41</v>
      </c>
      <c r="E1" t="s">
        <v>42</v>
      </c>
      <c r="H1" t="s">
        <v>67</v>
      </c>
      <c r="I1" t="s">
        <v>68</v>
      </c>
      <c r="J1" t="s">
        <v>77</v>
      </c>
      <c r="L1" t="s">
        <v>90</v>
      </c>
    </row>
    <row r="2" spans="1:12" x14ac:dyDescent="0.25">
      <c r="A2" t="s">
        <v>0</v>
      </c>
      <c r="B2" t="s">
        <v>108</v>
      </c>
      <c r="C2" t="s">
        <v>0</v>
      </c>
      <c r="D2" t="s">
        <v>17</v>
      </c>
      <c r="E2" t="s">
        <v>43</v>
      </c>
      <c r="F2" t="s">
        <v>129</v>
      </c>
      <c r="H2" t="s">
        <v>56</v>
      </c>
      <c r="I2" t="s">
        <v>69</v>
      </c>
      <c r="J2" t="s">
        <v>40</v>
      </c>
    </row>
    <row r="3" spans="1:12" x14ac:dyDescent="0.25">
      <c r="A3" t="s">
        <v>1</v>
      </c>
      <c r="B3" t="s">
        <v>110</v>
      </c>
      <c r="C3" t="s">
        <v>1</v>
      </c>
      <c r="D3" t="s">
        <v>18</v>
      </c>
      <c r="E3" t="s">
        <v>19</v>
      </c>
      <c r="F3" t="s">
        <v>130</v>
      </c>
      <c r="H3" t="s">
        <v>18</v>
      </c>
      <c r="I3" t="s">
        <v>18</v>
      </c>
      <c r="J3" t="s">
        <v>78</v>
      </c>
    </row>
    <row r="4" spans="1:12" x14ac:dyDescent="0.25">
      <c r="A4" t="s">
        <v>2</v>
      </c>
      <c r="B4" t="s">
        <v>109</v>
      </c>
      <c r="C4" t="s">
        <v>2</v>
      </c>
      <c r="D4" t="s">
        <v>19</v>
      </c>
      <c r="E4" t="s">
        <v>18</v>
      </c>
      <c r="F4" t="s">
        <v>131</v>
      </c>
      <c r="H4" t="s">
        <v>19</v>
      </c>
      <c r="I4" t="s">
        <v>19</v>
      </c>
      <c r="J4" t="s">
        <v>18</v>
      </c>
    </row>
    <row r="5" spans="1:12" x14ac:dyDescent="0.25">
      <c r="A5" t="s">
        <v>3</v>
      </c>
      <c r="B5" t="s">
        <v>111</v>
      </c>
      <c r="C5" t="s">
        <v>3</v>
      </c>
      <c r="D5" t="s">
        <v>20</v>
      </c>
      <c r="F5" t="s">
        <v>132</v>
      </c>
      <c r="H5" t="s">
        <v>57</v>
      </c>
      <c r="I5" t="s">
        <v>70</v>
      </c>
      <c r="J5" t="s">
        <v>19</v>
      </c>
    </row>
    <row r="6" spans="1:12" x14ac:dyDescent="0.25">
      <c r="A6" t="s">
        <v>4</v>
      </c>
      <c r="B6" t="s">
        <v>112</v>
      </c>
      <c r="C6" t="s">
        <v>4</v>
      </c>
      <c r="D6" t="s">
        <v>21</v>
      </c>
      <c r="E6" t="s">
        <v>44</v>
      </c>
      <c r="F6" t="s">
        <v>133</v>
      </c>
      <c r="H6" t="s">
        <v>45</v>
      </c>
      <c r="I6" t="s">
        <v>45</v>
      </c>
      <c r="J6" t="s">
        <v>79</v>
      </c>
    </row>
    <row r="7" spans="1:12" x14ac:dyDescent="0.25">
      <c r="A7" t="s">
        <v>5</v>
      </c>
      <c r="B7" t="s">
        <v>113</v>
      </c>
      <c r="C7" t="s">
        <v>5</v>
      </c>
      <c r="D7" t="s">
        <v>22</v>
      </c>
      <c r="E7" t="s">
        <v>45</v>
      </c>
      <c r="F7" t="s">
        <v>114</v>
      </c>
      <c r="H7" t="s">
        <v>58</v>
      </c>
      <c r="I7" t="s">
        <v>71</v>
      </c>
      <c r="J7" t="s">
        <v>83</v>
      </c>
    </row>
    <row r="8" spans="1:12" x14ac:dyDescent="0.25">
      <c r="A8" t="s">
        <v>6</v>
      </c>
      <c r="B8" s="1" t="s">
        <v>114</v>
      </c>
      <c r="C8" t="s">
        <v>6</v>
      </c>
      <c r="D8" t="s">
        <v>23</v>
      </c>
      <c r="E8" t="s">
        <v>46</v>
      </c>
      <c r="F8" t="s">
        <v>134</v>
      </c>
      <c r="H8" t="s">
        <v>47</v>
      </c>
      <c r="I8" t="s">
        <v>47</v>
      </c>
      <c r="J8" t="s">
        <v>80</v>
      </c>
    </row>
    <row r="9" spans="1:12" x14ac:dyDescent="0.25">
      <c r="A9" s="1" t="s">
        <v>93</v>
      </c>
      <c r="B9" s="1" t="s">
        <v>115</v>
      </c>
      <c r="C9" s="1" t="s">
        <v>98</v>
      </c>
      <c r="D9" t="s">
        <v>24</v>
      </c>
      <c r="E9" t="s">
        <v>47</v>
      </c>
      <c r="F9" t="s">
        <v>135</v>
      </c>
      <c r="H9" t="s">
        <v>48</v>
      </c>
      <c r="I9" t="s">
        <v>48</v>
      </c>
      <c r="J9" t="s">
        <v>84</v>
      </c>
    </row>
    <row r="10" spans="1:12" x14ac:dyDescent="0.25">
      <c r="A10" s="1" t="s">
        <v>94</v>
      </c>
      <c r="B10" t="s">
        <v>126</v>
      </c>
      <c r="C10" s="1" t="s">
        <v>99</v>
      </c>
      <c r="D10" t="s">
        <v>25</v>
      </c>
      <c r="E10" t="s">
        <v>48</v>
      </c>
      <c r="F10" t="s">
        <v>136</v>
      </c>
      <c r="H10" t="s">
        <v>59</v>
      </c>
      <c r="I10" t="s">
        <v>59</v>
      </c>
      <c r="J10" t="s">
        <v>85</v>
      </c>
    </row>
    <row r="11" spans="1:12" x14ac:dyDescent="0.25">
      <c r="A11" s="1" t="s">
        <v>95</v>
      </c>
      <c r="B11" t="s">
        <v>122</v>
      </c>
      <c r="C11" s="1" t="s">
        <v>100</v>
      </c>
      <c r="D11" t="s">
        <v>26</v>
      </c>
      <c r="E11" t="s">
        <v>49</v>
      </c>
      <c r="F11" t="s">
        <v>137</v>
      </c>
      <c r="H11" t="s">
        <v>60</v>
      </c>
      <c r="I11" t="s">
        <v>60</v>
      </c>
      <c r="J11" t="s">
        <v>86</v>
      </c>
    </row>
    <row r="12" spans="1:12" x14ac:dyDescent="0.25">
      <c r="A12" s="1" t="s">
        <v>96</v>
      </c>
      <c r="B12" t="s">
        <v>124</v>
      </c>
      <c r="C12" s="1" t="s">
        <v>101</v>
      </c>
      <c r="D12" t="s">
        <v>27</v>
      </c>
      <c r="E12" t="s">
        <v>50</v>
      </c>
      <c r="F12" t="s">
        <v>138</v>
      </c>
      <c r="I12" s="1" t="s">
        <v>72</v>
      </c>
      <c r="J12" t="s">
        <v>87</v>
      </c>
    </row>
    <row r="13" spans="1:12" x14ac:dyDescent="0.25">
      <c r="A13" s="1" t="s">
        <v>92</v>
      </c>
      <c r="B13" t="s">
        <v>125</v>
      </c>
      <c r="C13" s="1" t="s">
        <v>102</v>
      </c>
      <c r="D13" s="1" t="s">
        <v>91</v>
      </c>
      <c r="E13" t="s">
        <v>51</v>
      </c>
      <c r="F13" t="s">
        <v>139</v>
      </c>
      <c r="I13" t="s">
        <v>73</v>
      </c>
      <c r="J13" s="1" t="s">
        <v>82</v>
      </c>
    </row>
    <row r="14" spans="1:12" x14ac:dyDescent="0.25">
      <c r="B14" t="s">
        <v>119</v>
      </c>
      <c r="C14" t="s">
        <v>103</v>
      </c>
      <c r="D14" s="1" t="s">
        <v>97</v>
      </c>
      <c r="E14" t="s">
        <v>28</v>
      </c>
      <c r="F14" t="s">
        <v>140</v>
      </c>
      <c r="H14" s="1" t="s">
        <v>61</v>
      </c>
      <c r="I14" t="s">
        <v>64</v>
      </c>
      <c r="J14" t="s">
        <v>28</v>
      </c>
    </row>
    <row r="15" spans="1:12" x14ac:dyDescent="0.25">
      <c r="B15" t="s">
        <v>120</v>
      </c>
      <c r="C15" t="s">
        <v>104</v>
      </c>
      <c r="D15" t="s">
        <v>28</v>
      </c>
      <c r="E15" t="s">
        <v>29</v>
      </c>
      <c r="F15" t="s">
        <v>141</v>
      </c>
      <c r="H15" s="1" t="s">
        <v>62</v>
      </c>
      <c r="I15" t="s">
        <v>28</v>
      </c>
      <c r="J15" s="1" t="s">
        <v>81</v>
      </c>
    </row>
    <row r="16" spans="1:12" x14ac:dyDescent="0.25">
      <c r="A16" t="s">
        <v>7</v>
      </c>
      <c r="B16" s="1" t="s">
        <v>116</v>
      </c>
      <c r="C16" t="s">
        <v>7</v>
      </c>
      <c r="D16" t="s">
        <v>29</v>
      </c>
      <c r="E16" t="s">
        <v>30</v>
      </c>
      <c r="F16" t="s">
        <v>142</v>
      </c>
      <c r="H16" t="s">
        <v>63</v>
      </c>
      <c r="I16" s="1" t="s">
        <v>74</v>
      </c>
      <c r="J16" t="s">
        <v>29</v>
      </c>
    </row>
    <row r="17" spans="1:10" x14ac:dyDescent="0.25">
      <c r="A17" t="s">
        <v>8</v>
      </c>
      <c r="C17" t="s">
        <v>8</v>
      </c>
      <c r="D17" t="s">
        <v>30</v>
      </c>
      <c r="E17" s="1" t="s">
        <v>52</v>
      </c>
      <c r="F17" t="s">
        <v>143</v>
      </c>
      <c r="H17" t="s">
        <v>64</v>
      </c>
      <c r="I17" t="s">
        <v>29</v>
      </c>
      <c r="J17" t="s">
        <v>30</v>
      </c>
    </row>
    <row r="18" spans="1:10" x14ac:dyDescent="0.25">
      <c r="A18" t="s">
        <v>9</v>
      </c>
      <c r="B18" s="1" t="s">
        <v>117</v>
      </c>
      <c r="C18" t="s">
        <v>9</v>
      </c>
      <c r="D18" t="s">
        <v>31</v>
      </c>
      <c r="E18" t="s">
        <v>53</v>
      </c>
      <c r="F18" s="1" t="s">
        <v>144</v>
      </c>
      <c r="G18" s="1"/>
      <c r="H18" t="s">
        <v>28</v>
      </c>
      <c r="I18" t="s">
        <v>30</v>
      </c>
      <c r="J18" t="s">
        <v>88</v>
      </c>
    </row>
    <row r="19" spans="1:10" x14ac:dyDescent="0.25">
      <c r="A19" t="s">
        <v>10</v>
      </c>
      <c r="C19" t="s">
        <v>10</v>
      </c>
      <c r="D19" t="s">
        <v>32</v>
      </c>
      <c r="E19" t="s">
        <v>35</v>
      </c>
      <c r="F19" t="s">
        <v>145</v>
      </c>
      <c r="H19" t="s">
        <v>29</v>
      </c>
      <c r="I19" t="s">
        <v>53</v>
      </c>
      <c r="J19" t="s">
        <v>35</v>
      </c>
    </row>
    <row r="20" spans="1:10" x14ac:dyDescent="0.25">
      <c r="A20" t="s">
        <v>11</v>
      </c>
      <c r="B20" t="s">
        <v>121</v>
      </c>
      <c r="C20" t="s">
        <v>11</v>
      </c>
      <c r="D20" t="s">
        <v>33</v>
      </c>
      <c r="E20" t="s">
        <v>36</v>
      </c>
      <c r="F20" t="s">
        <v>146</v>
      </c>
      <c r="H20" t="s">
        <v>30</v>
      </c>
      <c r="I20" t="s">
        <v>65</v>
      </c>
      <c r="J20" t="s">
        <v>37</v>
      </c>
    </row>
    <row r="21" spans="1:10" x14ac:dyDescent="0.25">
      <c r="C21" t="s">
        <v>12</v>
      </c>
      <c r="D21" t="s">
        <v>34</v>
      </c>
      <c r="E21" t="s">
        <v>37</v>
      </c>
      <c r="F21" t="s">
        <v>147</v>
      </c>
      <c r="H21" t="s">
        <v>53</v>
      </c>
      <c r="I21" t="s">
        <v>36</v>
      </c>
      <c r="J21" t="s">
        <v>38</v>
      </c>
    </row>
    <row r="22" spans="1:10" x14ac:dyDescent="0.25">
      <c r="A22" t="s">
        <v>12</v>
      </c>
      <c r="B22" t="s">
        <v>227</v>
      </c>
      <c r="C22" t="s">
        <v>13</v>
      </c>
      <c r="D22" t="s">
        <v>35</v>
      </c>
      <c r="E22" t="s">
        <v>38</v>
      </c>
      <c r="F22" t="s">
        <v>148</v>
      </c>
      <c r="H22" t="s">
        <v>65</v>
      </c>
      <c r="I22" t="s">
        <v>75</v>
      </c>
      <c r="J22" t="s">
        <v>89</v>
      </c>
    </row>
    <row r="23" spans="1:10" x14ac:dyDescent="0.25">
      <c r="A23" t="s">
        <v>13</v>
      </c>
      <c r="B23" t="s">
        <v>123</v>
      </c>
      <c r="C23" t="s">
        <v>105</v>
      </c>
      <c r="D23" t="s">
        <v>36</v>
      </c>
      <c r="E23" t="s">
        <v>54</v>
      </c>
      <c r="F23" t="s">
        <v>149</v>
      </c>
      <c r="H23" t="s">
        <v>36</v>
      </c>
      <c r="I23" t="s">
        <v>76</v>
      </c>
    </row>
    <row r="24" spans="1:10" x14ac:dyDescent="0.25">
      <c r="A24" t="s">
        <v>14</v>
      </c>
      <c r="B24" t="s">
        <v>127</v>
      </c>
      <c r="C24" t="s">
        <v>14</v>
      </c>
      <c r="D24" t="s">
        <v>37</v>
      </c>
      <c r="E24" t="s">
        <v>55</v>
      </c>
      <c r="F24" t="s">
        <v>150</v>
      </c>
      <c r="H24" t="s">
        <v>37</v>
      </c>
      <c r="I24" t="s">
        <v>66</v>
      </c>
    </row>
    <row r="25" spans="1:10" x14ac:dyDescent="0.25">
      <c r="A25" t="s">
        <v>15</v>
      </c>
      <c r="B25" t="s">
        <v>107</v>
      </c>
      <c r="C25" t="s">
        <v>15</v>
      </c>
      <c r="D25" t="s">
        <v>38</v>
      </c>
      <c r="H25" t="s">
        <v>38</v>
      </c>
      <c r="I25" t="s">
        <v>37</v>
      </c>
    </row>
    <row r="26" spans="1:10" x14ac:dyDescent="0.25">
      <c r="B26" t="s">
        <v>128</v>
      </c>
      <c r="D26" t="s">
        <v>39</v>
      </c>
      <c r="E26" t="s">
        <v>40</v>
      </c>
      <c r="H26" t="s">
        <v>66</v>
      </c>
      <c r="I26" t="s">
        <v>38</v>
      </c>
    </row>
    <row r="27" spans="1:10" x14ac:dyDescent="0.25">
      <c r="D27" t="s">
        <v>40</v>
      </c>
      <c r="F27" t="s">
        <v>151</v>
      </c>
      <c r="H27" t="s">
        <v>55</v>
      </c>
      <c r="I27" t="s">
        <v>55</v>
      </c>
    </row>
    <row r="28" spans="1:10" x14ac:dyDescent="0.25">
      <c r="F28" t="s">
        <v>152</v>
      </c>
      <c r="H28" t="s">
        <v>40</v>
      </c>
      <c r="I28" t="s">
        <v>40</v>
      </c>
    </row>
    <row r="29" spans="1:10" x14ac:dyDescent="0.25">
      <c r="B29" s="1" t="s">
        <v>118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A2" sqref="A2:B20"/>
    </sheetView>
  </sheetViews>
  <sheetFormatPr defaultRowHeight="14.4" x14ac:dyDescent="0.25"/>
  <cols>
    <col min="1" max="1" width="28.5546875" customWidth="1"/>
    <col min="2" max="3" width="58.33203125" customWidth="1"/>
    <col min="4" max="4" width="39.77734375" customWidth="1"/>
    <col min="5" max="5" width="37.21875" customWidth="1"/>
  </cols>
  <sheetData>
    <row r="1" spans="1:5" x14ac:dyDescent="0.25">
      <c r="B1" t="s">
        <v>153</v>
      </c>
      <c r="D1" t="s">
        <v>155</v>
      </c>
      <c r="E1" t="s">
        <v>154</v>
      </c>
    </row>
    <row r="2" spans="1:5" x14ac:dyDescent="0.25">
      <c r="A2" t="s">
        <v>0</v>
      </c>
      <c r="B2" s="4" t="s">
        <v>182</v>
      </c>
      <c r="C2" s="4" t="s">
        <v>651</v>
      </c>
      <c r="D2" s="2" t="s">
        <v>156</v>
      </c>
    </row>
    <row r="3" spans="1:5" x14ac:dyDescent="0.25">
      <c r="A3" t="s">
        <v>1</v>
      </c>
      <c r="B3" t="s">
        <v>191</v>
      </c>
      <c r="C3" t="s">
        <v>652</v>
      </c>
      <c r="D3" s="2" t="s">
        <v>170</v>
      </c>
      <c r="E3" t="s">
        <v>162</v>
      </c>
    </row>
    <row r="4" spans="1:5" x14ac:dyDescent="0.25">
      <c r="A4" t="s">
        <v>2</v>
      </c>
      <c r="B4" s="4" t="s">
        <v>181</v>
      </c>
      <c r="C4" s="4" t="s">
        <v>653</v>
      </c>
      <c r="D4" s="2" t="s">
        <v>157</v>
      </c>
    </row>
    <row r="5" spans="1:5" x14ac:dyDescent="0.25">
      <c r="A5" t="s">
        <v>3</v>
      </c>
      <c r="B5" s="4" t="s">
        <v>177</v>
      </c>
      <c r="C5" s="4" t="s">
        <v>654</v>
      </c>
      <c r="D5" s="2" t="s">
        <v>178</v>
      </c>
    </row>
    <row r="6" spans="1:5" x14ac:dyDescent="0.25">
      <c r="A6" t="s">
        <v>4</v>
      </c>
      <c r="B6" s="4" t="s">
        <v>184</v>
      </c>
      <c r="C6" s="4" t="s">
        <v>655</v>
      </c>
      <c r="D6" s="2" t="s">
        <v>171</v>
      </c>
    </row>
    <row r="7" spans="1:5" x14ac:dyDescent="0.25">
      <c r="A7" t="s">
        <v>5</v>
      </c>
      <c r="B7" s="4" t="s">
        <v>185</v>
      </c>
      <c r="C7" s="4" t="s">
        <v>656</v>
      </c>
      <c r="D7" s="2" t="s">
        <v>158</v>
      </c>
    </row>
    <row r="8" spans="1:5" x14ac:dyDescent="0.25">
      <c r="A8" t="s">
        <v>6</v>
      </c>
      <c r="B8" s="5" t="s">
        <v>186</v>
      </c>
      <c r="C8" s="5" t="s">
        <v>657</v>
      </c>
      <c r="D8" s="2" t="s">
        <v>179</v>
      </c>
    </row>
    <row r="9" spans="1:5" x14ac:dyDescent="0.25">
      <c r="A9" t="s">
        <v>683</v>
      </c>
      <c r="B9" s="4" t="s">
        <v>190</v>
      </c>
      <c r="C9" s="4" t="s">
        <v>658</v>
      </c>
      <c r="D9" s="2" t="s">
        <v>159</v>
      </c>
    </row>
    <row r="10" spans="1:5" x14ac:dyDescent="0.25">
      <c r="A10" t="s">
        <v>681</v>
      </c>
      <c r="B10" s="6" t="s">
        <v>188</v>
      </c>
      <c r="C10" s="6" t="s">
        <v>659</v>
      </c>
      <c r="D10" s="2" t="s">
        <v>180</v>
      </c>
      <c r="E10" t="e">
        <f>---对比</f>
        <v>#NAME?</v>
      </c>
    </row>
    <row r="11" spans="1:5" x14ac:dyDescent="0.25">
      <c r="A11" t="s">
        <v>689</v>
      </c>
      <c r="B11" s="1" t="s">
        <v>688</v>
      </c>
      <c r="C11" s="1" t="s">
        <v>660</v>
      </c>
      <c r="D11" s="2" t="s">
        <v>172</v>
      </c>
    </row>
    <row r="12" spans="1:5" x14ac:dyDescent="0.25">
      <c r="A12" t="s">
        <v>682</v>
      </c>
      <c r="B12" s="6" t="s">
        <v>189</v>
      </c>
      <c r="C12" s="6" t="s">
        <v>661</v>
      </c>
      <c r="D12" s="2" t="s">
        <v>173</v>
      </c>
      <c r="E12" t="e">
        <f>--对比</f>
        <v>#NAME?</v>
      </c>
    </row>
    <row r="13" spans="1:5" x14ac:dyDescent="0.25">
      <c r="A13" t="s">
        <v>105</v>
      </c>
      <c r="B13" s="3" t="s">
        <v>165</v>
      </c>
      <c r="C13" s="3" t="s">
        <v>662</v>
      </c>
      <c r="D13" s="2" t="s">
        <v>160</v>
      </c>
    </row>
    <row r="14" spans="1:5" x14ac:dyDescent="0.25">
      <c r="A14" t="s">
        <v>687</v>
      </c>
      <c r="B14" t="s">
        <v>192</v>
      </c>
      <c r="C14" t="s">
        <v>663</v>
      </c>
      <c r="D14" s="2" t="s">
        <v>166</v>
      </c>
    </row>
    <row r="15" spans="1:5" x14ac:dyDescent="0.25">
      <c r="A15" t="s">
        <v>680</v>
      </c>
      <c r="B15" s="6" t="s">
        <v>161</v>
      </c>
      <c r="C15" s="6"/>
      <c r="D15" s="2" t="s">
        <v>174</v>
      </c>
    </row>
    <row r="16" spans="1:5" x14ac:dyDescent="0.25">
      <c r="A16" t="s">
        <v>11</v>
      </c>
      <c r="B16" s="6" t="s">
        <v>187</v>
      </c>
      <c r="C16" s="6"/>
      <c r="D16" s="2" t="s">
        <v>175</v>
      </c>
      <c r="E16" t="s">
        <v>163</v>
      </c>
    </row>
    <row r="17" spans="1:5" x14ac:dyDescent="0.25">
      <c r="A17" s="16" t="s">
        <v>12</v>
      </c>
      <c r="B17" s="3" t="s">
        <v>686</v>
      </c>
      <c r="C17" s="3"/>
      <c r="D17" s="2" t="s">
        <v>167</v>
      </c>
    </row>
    <row r="18" spans="1:5" x14ac:dyDescent="0.25">
      <c r="A18" t="s">
        <v>15</v>
      </c>
      <c r="B18" s="4" t="s">
        <v>183</v>
      </c>
      <c r="C18" s="4"/>
      <c r="D18" s="2" t="s">
        <v>168</v>
      </c>
      <c r="E18" t="s">
        <v>163</v>
      </c>
    </row>
    <row r="19" spans="1:5" x14ac:dyDescent="0.25">
      <c r="A19" t="s">
        <v>684</v>
      </c>
      <c r="B19" t="s">
        <v>193</v>
      </c>
      <c r="D19" s="2" t="s">
        <v>176</v>
      </c>
      <c r="E19" t="s">
        <v>163</v>
      </c>
    </row>
    <row r="20" spans="1:5" x14ac:dyDescent="0.25">
      <c r="A20" t="s">
        <v>685</v>
      </c>
      <c r="B20" s="1" t="s">
        <v>194</v>
      </c>
      <c r="C20" s="1"/>
      <c r="D20" s="2" t="s">
        <v>169</v>
      </c>
      <c r="E20" t="s">
        <v>164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A28" sqref="A2:A28"/>
    </sheetView>
  </sheetViews>
  <sheetFormatPr defaultRowHeight="14.4" x14ac:dyDescent="0.25"/>
  <cols>
    <col min="1" max="1" width="26.88671875" customWidth="1"/>
    <col min="2" max="5" width="49.5546875" customWidth="1"/>
    <col min="6" max="6" width="25" customWidth="1"/>
  </cols>
  <sheetData>
    <row r="1" spans="1:6" x14ac:dyDescent="0.25">
      <c r="A1" t="s">
        <v>206</v>
      </c>
      <c r="C1" t="s">
        <v>230</v>
      </c>
      <c r="E1" t="s">
        <v>254</v>
      </c>
      <c r="F1" t="s">
        <v>207</v>
      </c>
    </row>
    <row r="2" spans="1:6" x14ac:dyDescent="0.25">
      <c r="A2" t="s">
        <v>248</v>
      </c>
      <c r="B2" t="s">
        <v>208</v>
      </c>
      <c r="C2" t="s">
        <v>231</v>
      </c>
      <c r="E2" t="s">
        <v>255</v>
      </c>
      <c r="F2" t="s">
        <v>199</v>
      </c>
    </row>
    <row r="3" spans="1:6" x14ac:dyDescent="0.25">
      <c r="A3" t="s">
        <v>18</v>
      </c>
      <c r="B3" t="s">
        <v>209</v>
      </c>
      <c r="C3" t="s">
        <v>298</v>
      </c>
      <c r="D3" t="s">
        <v>486</v>
      </c>
      <c r="E3" t="s">
        <v>256</v>
      </c>
      <c r="F3" t="s">
        <v>199</v>
      </c>
    </row>
    <row r="4" spans="1:6" x14ac:dyDescent="0.25">
      <c r="A4" t="s">
        <v>19</v>
      </c>
      <c r="B4" t="s">
        <v>130</v>
      </c>
      <c r="C4" t="s">
        <v>299</v>
      </c>
      <c r="D4" t="s">
        <v>493</v>
      </c>
      <c r="E4" t="s">
        <v>257</v>
      </c>
      <c r="F4" t="s">
        <v>199</v>
      </c>
    </row>
    <row r="5" spans="1:6" x14ac:dyDescent="0.25">
      <c r="A5" t="s">
        <v>20</v>
      </c>
      <c r="B5" t="s">
        <v>114</v>
      </c>
      <c r="C5" t="s">
        <v>232</v>
      </c>
      <c r="E5" t="s">
        <v>258</v>
      </c>
      <c r="F5" t="s">
        <v>199</v>
      </c>
    </row>
    <row r="6" spans="1:6" x14ac:dyDescent="0.25">
      <c r="A6" t="s">
        <v>21</v>
      </c>
      <c r="B6" t="s">
        <v>134</v>
      </c>
      <c r="C6" t="s">
        <v>233</v>
      </c>
      <c r="E6" t="s">
        <v>259</v>
      </c>
      <c r="F6" t="s">
        <v>199</v>
      </c>
    </row>
    <row r="7" spans="1:6" x14ac:dyDescent="0.25">
      <c r="A7" t="s">
        <v>22</v>
      </c>
      <c r="B7" t="s">
        <v>211</v>
      </c>
      <c r="C7" t="s">
        <v>234</v>
      </c>
      <c r="E7" t="s">
        <v>260</v>
      </c>
      <c r="F7" t="s">
        <v>199</v>
      </c>
    </row>
    <row r="8" spans="1:6" x14ac:dyDescent="0.25">
      <c r="A8" t="s">
        <v>23</v>
      </c>
      <c r="B8" t="s">
        <v>210</v>
      </c>
      <c r="C8" t="s">
        <v>235</v>
      </c>
      <c r="E8" t="s">
        <v>261</v>
      </c>
      <c r="F8" t="s">
        <v>199</v>
      </c>
    </row>
    <row r="9" spans="1:6" x14ac:dyDescent="0.25">
      <c r="A9" t="s">
        <v>24</v>
      </c>
      <c r="B9" t="s">
        <v>212</v>
      </c>
      <c r="C9" t="s">
        <v>236</v>
      </c>
      <c r="E9" t="s">
        <v>262</v>
      </c>
      <c r="F9" t="s">
        <v>199</v>
      </c>
    </row>
    <row r="10" spans="1:6" x14ac:dyDescent="0.25">
      <c r="A10" t="s">
        <v>25</v>
      </c>
      <c r="B10" t="s">
        <v>138</v>
      </c>
      <c r="C10" t="s">
        <v>237</v>
      </c>
      <c r="E10" t="s">
        <v>263</v>
      </c>
      <c r="F10" t="s">
        <v>199</v>
      </c>
    </row>
    <row r="11" spans="1:6" x14ac:dyDescent="0.25">
      <c r="A11" t="s">
        <v>26</v>
      </c>
      <c r="B11" t="s">
        <v>139</v>
      </c>
      <c r="C11" t="s">
        <v>238</v>
      </c>
      <c r="E11" t="s">
        <v>264</v>
      </c>
      <c r="F11" t="s">
        <v>199</v>
      </c>
    </row>
    <row r="12" spans="1:6" x14ac:dyDescent="0.25">
      <c r="A12" t="s">
        <v>27</v>
      </c>
      <c r="B12" t="s">
        <v>214</v>
      </c>
      <c r="C12" t="s">
        <v>239</v>
      </c>
      <c r="E12" t="s">
        <v>265</v>
      </c>
      <c r="F12" t="s">
        <v>199</v>
      </c>
    </row>
    <row r="13" spans="1:6" x14ac:dyDescent="0.25">
      <c r="A13" t="s">
        <v>195</v>
      </c>
      <c r="B13" t="s">
        <v>213</v>
      </c>
      <c r="C13" t="s">
        <v>240</v>
      </c>
      <c r="E13" t="s">
        <v>266</v>
      </c>
      <c r="F13" t="s">
        <v>199</v>
      </c>
    </row>
    <row r="14" spans="1:6" x14ac:dyDescent="0.25">
      <c r="A14" t="s">
        <v>197</v>
      </c>
      <c r="B14" t="s">
        <v>133</v>
      </c>
      <c r="C14" t="s">
        <v>241</v>
      </c>
      <c r="E14" t="s">
        <v>267</v>
      </c>
      <c r="F14" t="s">
        <v>199</v>
      </c>
    </row>
    <row r="15" spans="1:6" x14ac:dyDescent="0.25">
      <c r="A15" t="s">
        <v>250</v>
      </c>
      <c r="B15" t="s">
        <v>229</v>
      </c>
      <c r="C15" t="s">
        <v>309</v>
      </c>
      <c r="D15" t="s">
        <v>499</v>
      </c>
      <c r="F15" t="s">
        <v>198</v>
      </c>
    </row>
    <row r="16" spans="1:6" x14ac:dyDescent="0.25">
      <c r="A16" s="1" t="s">
        <v>246</v>
      </c>
      <c r="B16" t="s">
        <v>215</v>
      </c>
      <c r="C16" t="s">
        <v>174</v>
      </c>
      <c r="D16" t="s">
        <v>487</v>
      </c>
      <c r="F16" t="s">
        <v>200</v>
      </c>
    </row>
    <row r="17" spans="1:6" x14ac:dyDescent="0.25">
      <c r="A17" t="s">
        <v>251</v>
      </c>
      <c r="B17" t="s">
        <v>216</v>
      </c>
      <c r="C17" t="s">
        <v>311</v>
      </c>
      <c r="D17" t="s">
        <v>488</v>
      </c>
      <c r="F17" t="s">
        <v>200</v>
      </c>
    </row>
    <row r="18" spans="1:6" x14ac:dyDescent="0.25">
      <c r="A18" t="s">
        <v>252</v>
      </c>
      <c r="B18" t="s">
        <v>217</v>
      </c>
      <c r="C18" t="s">
        <v>242</v>
      </c>
      <c r="F18" t="s">
        <v>201</v>
      </c>
    </row>
    <row r="19" spans="1:6" x14ac:dyDescent="0.25">
      <c r="A19" t="s">
        <v>489</v>
      </c>
      <c r="B19" t="s">
        <v>218</v>
      </c>
      <c r="C19" t="s">
        <v>243</v>
      </c>
      <c r="F19" t="s">
        <v>202</v>
      </c>
    </row>
    <row r="20" spans="1:6" x14ac:dyDescent="0.25">
      <c r="A20" t="s">
        <v>490</v>
      </c>
      <c r="B20" t="s">
        <v>219</v>
      </c>
      <c r="C20" t="s">
        <v>244</v>
      </c>
      <c r="F20" t="s">
        <v>200</v>
      </c>
    </row>
    <row r="21" spans="1:6" x14ac:dyDescent="0.25">
      <c r="A21" s="1" t="s">
        <v>491</v>
      </c>
      <c r="B21" s="1" t="s">
        <v>220</v>
      </c>
      <c r="C21" s="1" t="s">
        <v>253</v>
      </c>
      <c r="E21" s="1"/>
    </row>
    <row r="22" spans="1:6" x14ac:dyDescent="0.25">
      <c r="A22" t="s">
        <v>35</v>
      </c>
      <c r="B22" t="s">
        <v>247</v>
      </c>
      <c r="C22" t="s">
        <v>175</v>
      </c>
      <c r="D22" t="s">
        <v>494</v>
      </c>
      <c r="F22" t="s">
        <v>200</v>
      </c>
    </row>
    <row r="23" spans="1:6" x14ac:dyDescent="0.25">
      <c r="A23" t="s">
        <v>228</v>
      </c>
      <c r="B23" t="s">
        <v>221</v>
      </c>
      <c r="C23" t="s">
        <v>334</v>
      </c>
      <c r="D23" t="s">
        <v>495</v>
      </c>
      <c r="F23" t="s">
        <v>200</v>
      </c>
    </row>
    <row r="24" spans="1:6" x14ac:dyDescent="0.25">
      <c r="A24" s="7" t="s">
        <v>37</v>
      </c>
      <c r="B24" s="7" t="s">
        <v>222</v>
      </c>
      <c r="C24" t="s">
        <v>387</v>
      </c>
      <c r="D24" t="s">
        <v>492</v>
      </c>
      <c r="E24" s="7"/>
      <c r="F24" s="7" t="s">
        <v>203</v>
      </c>
    </row>
    <row r="25" spans="1:6" x14ac:dyDescent="0.25">
      <c r="A25" s="1" t="s">
        <v>38</v>
      </c>
      <c r="B25" s="1" t="s">
        <v>223</v>
      </c>
      <c r="C25" t="s">
        <v>314</v>
      </c>
      <c r="D25" t="s">
        <v>496</v>
      </c>
      <c r="E25" s="1"/>
      <c r="F25" t="s">
        <v>203</v>
      </c>
    </row>
    <row r="26" spans="1:6" x14ac:dyDescent="0.25">
      <c r="A26" s="1" t="s">
        <v>39</v>
      </c>
      <c r="B26" s="1" t="s">
        <v>224</v>
      </c>
      <c r="C26" s="1" t="s">
        <v>245</v>
      </c>
      <c r="E26" s="1"/>
      <c r="F26" t="s">
        <v>204</v>
      </c>
    </row>
    <row r="27" spans="1:6" x14ac:dyDescent="0.25">
      <c r="A27" t="s">
        <v>249</v>
      </c>
      <c r="B27" t="s">
        <v>225</v>
      </c>
      <c r="C27" t="s">
        <v>296</v>
      </c>
      <c r="D27" t="s">
        <v>497</v>
      </c>
      <c r="F27" t="s">
        <v>205</v>
      </c>
    </row>
    <row r="28" spans="1:6" x14ac:dyDescent="0.25">
      <c r="A28" s="1" t="s">
        <v>196</v>
      </c>
      <c r="B28" s="1" t="s">
        <v>226</v>
      </c>
      <c r="C28" t="s">
        <v>316</v>
      </c>
      <c r="D28" t="s">
        <v>498</v>
      </c>
      <c r="E28" s="1"/>
      <c r="F28" s="1" t="s">
        <v>205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zoomScale="115" zoomScaleNormal="115" workbookViewId="0">
      <selection activeCell="B23" sqref="B23:B27"/>
    </sheetView>
  </sheetViews>
  <sheetFormatPr defaultRowHeight="14.4" x14ac:dyDescent="0.25"/>
  <cols>
    <col min="1" max="1" width="20.77734375" customWidth="1"/>
  </cols>
  <sheetData>
    <row r="1" spans="1:2" x14ac:dyDescent="0.25">
      <c r="A1" t="s">
        <v>249</v>
      </c>
      <c r="B1">
        <v>5</v>
      </c>
    </row>
    <row r="2" spans="1:2" x14ac:dyDescent="0.25">
      <c r="A2" t="s">
        <v>501</v>
      </c>
      <c r="B2">
        <v>5</v>
      </c>
    </row>
    <row r="3" spans="1:2" x14ac:dyDescent="0.25">
      <c r="A3" t="s">
        <v>481</v>
      </c>
      <c r="B3">
        <v>5</v>
      </c>
    </row>
    <row r="4" spans="1:2" x14ac:dyDescent="0.25">
      <c r="A4" t="s">
        <v>274</v>
      </c>
      <c r="B4">
        <v>5</v>
      </c>
    </row>
    <row r="5" spans="1:2" x14ac:dyDescent="0.25">
      <c r="A5" t="s">
        <v>276</v>
      </c>
      <c r="B5">
        <v>5</v>
      </c>
    </row>
    <row r="6" spans="1:2" x14ac:dyDescent="0.25">
      <c r="A6" t="s">
        <v>502</v>
      </c>
      <c r="B6">
        <v>5</v>
      </c>
    </row>
    <row r="7" spans="1:2" x14ac:dyDescent="0.25">
      <c r="A7" t="s">
        <v>482</v>
      </c>
      <c r="B7">
        <v>5</v>
      </c>
    </row>
    <row r="8" spans="1:2" x14ac:dyDescent="0.25">
      <c r="A8" t="s">
        <v>483</v>
      </c>
      <c r="B8">
        <v>5</v>
      </c>
    </row>
    <row r="9" spans="1:2" x14ac:dyDescent="0.25">
      <c r="A9" t="s">
        <v>484</v>
      </c>
      <c r="B9">
        <v>5</v>
      </c>
    </row>
    <row r="10" spans="1:2" x14ac:dyDescent="0.25">
      <c r="A10" t="s">
        <v>485</v>
      </c>
      <c r="B10">
        <v>5</v>
      </c>
    </row>
    <row r="11" spans="1:2" x14ac:dyDescent="0.25">
      <c r="A11" t="s">
        <v>280</v>
      </c>
      <c r="B11">
        <v>5</v>
      </c>
    </row>
    <row r="12" spans="1:2" x14ac:dyDescent="0.25">
      <c r="A12" t="s">
        <v>503</v>
      </c>
      <c r="B12">
        <v>5</v>
      </c>
    </row>
    <row r="13" spans="1:2" x14ac:dyDescent="0.25">
      <c r="A13" t="s">
        <v>504</v>
      </c>
      <c r="B13">
        <v>5</v>
      </c>
    </row>
    <row r="14" spans="1:2" x14ac:dyDescent="0.25">
      <c r="A14" t="s">
        <v>505</v>
      </c>
      <c r="B14">
        <v>5</v>
      </c>
    </row>
    <row r="15" spans="1:2" x14ac:dyDescent="0.25">
      <c r="A15" t="s">
        <v>246</v>
      </c>
      <c r="B15">
        <v>5</v>
      </c>
    </row>
    <row r="16" spans="1:2" x14ac:dyDescent="0.25">
      <c r="A16" t="s">
        <v>251</v>
      </c>
      <c r="B16">
        <v>5</v>
      </c>
    </row>
    <row r="17" spans="1:2" x14ac:dyDescent="0.25">
      <c r="A17" t="s">
        <v>506</v>
      </c>
      <c r="B17">
        <v>5</v>
      </c>
    </row>
    <row r="18" spans="1:2" x14ac:dyDescent="0.25">
      <c r="A18" t="s">
        <v>289</v>
      </c>
      <c r="B18">
        <v>5</v>
      </c>
    </row>
    <row r="19" spans="1:2" x14ac:dyDescent="0.25">
      <c r="A19" t="s">
        <v>290</v>
      </c>
      <c r="B19">
        <v>5</v>
      </c>
    </row>
    <row r="20" spans="1:2" x14ac:dyDescent="0.25">
      <c r="A20" t="s">
        <v>292</v>
      </c>
      <c r="B20">
        <v>5</v>
      </c>
    </row>
    <row r="21" spans="1:2" x14ac:dyDescent="0.25">
      <c r="A21" t="s">
        <v>507</v>
      </c>
      <c r="B21">
        <v>5</v>
      </c>
    </row>
    <row r="22" spans="1:2" x14ac:dyDescent="0.25">
      <c r="A22" t="s">
        <v>295</v>
      </c>
      <c r="B22">
        <v>5</v>
      </c>
    </row>
    <row r="23" spans="1:2" x14ac:dyDescent="0.25">
      <c r="A23" s="7"/>
    </row>
    <row r="24" spans="1:2" x14ac:dyDescent="0.25">
      <c r="A24" s="1"/>
    </row>
    <row r="25" spans="1:2" x14ac:dyDescent="0.25">
      <c r="A25" s="1"/>
    </row>
    <row r="27" spans="1:2" x14ac:dyDescent="0.25">
      <c r="A2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opLeftCell="A3" workbookViewId="0">
      <selection activeCell="A2" sqref="A2:A23"/>
    </sheetView>
  </sheetViews>
  <sheetFormatPr defaultRowHeight="14.4" x14ac:dyDescent="0.25"/>
  <cols>
    <col min="1" max="1" width="27.44140625" customWidth="1"/>
    <col min="2" max="2" width="38.88671875" customWidth="1"/>
    <col min="3" max="3" width="25.77734375" customWidth="1"/>
  </cols>
  <sheetData>
    <row r="1" spans="1:4" x14ac:dyDescent="0.25">
      <c r="A1" t="s">
        <v>268</v>
      </c>
      <c r="B1" t="s">
        <v>269</v>
      </c>
      <c r="C1" t="s">
        <v>270</v>
      </c>
    </row>
    <row r="2" spans="1:4" x14ac:dyDescent="0.25">
      <c r="A2" t="s">
        <v>249</v>
      </c>
      <c r="B2" t="s">
        <v>271</v>
      </c>
      <c r="C2" t="s">
        <v>500</v>
      </c>
      <c r="D2" t="s">
        <v>435</v>
      </c>
    </row>
    <row r="3" spans="1:4" x14ac:dyDescent="0.25">
      <c r="A3" t="s">
        <v>501</v>
      </c>
      <c r="B3" t="s">
        <v>272</v>
      </c>
      <c r="C3" t="s">
        <v>297</v>
      </c>
      <c r="D3" t="s">
        <v>436</v>
      </c>
    </row>
    <row r="4" spans="1:4" x14ac:dyDescent="0.25">
      <c r="A4" t="s">
        <v>481</v>
      </c>
      <c r="B4" t="s">
        <v>273</v>
      </c>
      <c r="C4" t="s">
        <v>298</v>
      </c>
      <c r="D4" t="s">
        <v>437</v>
      </c>
    </row>
    <row r="5" spans="1:4" x14ac:dyDescent="0.25">
      <c r="A5" t="s">
        <v>274</v>
      </c>
      <c r="B5" t="s">
        <v>275</v>
      </c>
      <c r="C5" t="s">
        <v>299</v>
      </c>
      <c r="D5" t="s">
        <v>438</v>
      </c>
    </row>
    <row r="6" spans="1:4" x14ac:dyDescent="0.25">
      <c r="A6" t="s">
        <v>276</v>
      </c>
      <c r="B6" t="s">
        <v>179</v>
      </c>
      <c r="C6" t="s">
        <v>300</v>
      </c>
      <c r="D6" t="s">
        <v>439</v>
      </c>
    </row>
    <row r="7" spans="1:4" x14ac:dyDescent="0.25">
      <c r="A7" t="s">
        <v>502</v>
      </c>
      <c r="B7" t="s">
        <v>277</v>
      </c>
      <c r="C7" t="s">
        <v>301</v>
      </c>
      <c r="D7" t="s">
        <v>440</v>
      </c>
    </row>
    <row r="8" spans="1:4" x14ac:dyDescent="0.25">
      <c r="A8" t="s">
        <v>482</v>
      </c>
      <c r="B8" t="s">
        <v>278</v>
      </c>
      <c r="C8" t="s">
        <v>302</v>
      </c>
      <c r="D8" t="s">
        <v>441</v>
      </c>
    </row>
    <row r="9" spans="1:4" x14ac:dyDescent="0.25">
      <c r="A9" t="s">
        <v>483</v>
      </c>
      <c r="B9" t="s">
        <v>212</v>
      </c>
      <c r="C9" t="s">
        <v>303</v>
      </c>
      <c r="D9" t="s">
        <v>442</v>
      </c>
    </row>
    <row r="10" spans="1:4" x14ac:dyDescent="0.25">
      <c r="A10" t="s">
        <v>484</v>
      </c>
      <c r="B10" t="s">
        <v>305</v>
      </c>
      <c r="C10" t="s">
        <v>304</v>
      </c>
      <c r="D10" t="s">
        <v>443</v>
      </c>
    </row>
    <row r="11" spans="1:4" x14ac:dyDescent="0.25">
      <c r="A11" t="s">
        <v>485</v>
      </c>
      <c r="B11" t="s">
        <v>279</v>
      </c>
      <c r="C11" t="s">
        <v>306</v>
      </c>
      <c r="D11" t="s">
        <v>444</v>
      </c>
    </row>
    <row r="12" spans="1:4" x14ac:dyDescent="0.25">
      <c r="A12" t="s">
        <v>280</v>
      </c>
      <c r="B12" t="s">
        <v>281</v>
      </c>
      <c r="C12" t="s">
        <v>307</v>
      </c>
      <c r="D12" t="s">
        <v>445</v>
      </c>
    </row>
    <row r="13" spans="1:4" x14ac:dyDescent="0.25">
      <c r="A13" t="s">
        <v>503</v>
      </c>
      <c r="B13" t="s">
        <v>282</v>
      </c>
      <c r="C13" t="s">
        <v>308</v>
      </c>
      <c r="D13" t="s">
        <v>446</v>
      </c>
    </row>
    <row r="14" spans="1:4" x14ac:dyDescent="0.25">
      <c r="A14" t="s">
        <v>504</v>
      </c>
      <c r="B14" t="s">
        <v>284</v>
      </c>
      <c r="C14" t="s">
        <v>309</v>
      </c>
      <c r="D14" t="s">
        <v>447</v>
      </c>
    </row>
    <row r="15" spans="1:4" x14ac:dyDescent="0.25">
      <c r="A15" t="s">
        <v>505</v>
      </c>
      <c r="B15" t="s">
        <v>285</v>
      </c>
      <c r="C15" t="s">
        <v>310</v>
      </c>
      <c r="D15" t="s">
        <v>448</v>
      </c>
    </row>
    <row r="16" spans="1:4" x14ac:dyDescent="0.25">
      <c r="A16" t="s">
        <v>246</v>
      </c>
      <c r="B16" t="s">
        <v>286</v>
      </c>
      <c r="C16" t="s">
        <v>174</v>
      </c>
      <c r="D16" t="s">
        <v>449</v>
      </c>
    </row>
    <row r="17" spans="1:4" x14ac:dyDescent="0.25">
      <c r="A17" t="s">
        <v>251</v>
      </c>
      <c r="B17" t="s">
        <v>287</v>
      </c>
      <c r="C17" t="s">
        <v>311</v>
      </c>
      <c r="D17" t="s">
        <v>450</v>
      </c>
    </row>
    <row r="18" spans="1:4" x14ac:dyDescent="0.25">
      <c r="A18" t="s">
        <v>506</v>
      </c>
      <c r="B18" t="s">
        <v>288</v>
      </c>
      <c r="C18" t="s">
        <v>312</v>
      </c>
      <c r="D18" t="s">
        <v>451</v>
      </c>
    </row>
    <row r="19" spans="1:4" x14ac:dyDescent="0.25">
      <c r="A19" t="s">
        <v>289</v>
      </c>
      <c r="B19" t="s">
        <v>247</v>
      </c>
      <c r="C19" t="s">
        <v>175</v>
      </c>
      <c r="D19" t="s">
        <v>452</v>
      </c>
    </row>
    <row r="20" spans="1:4" x14ac:dyDescent="0.25">
      <c r="A20" t="s">
        <v>290</v>
      </c>
      <c r="B20" t="s">
        <v>291</v>
      </c>
      <c r="C20" t="s">
        <v>313</v>
      </c>
      <c r="D20" t="s">
        <v>453</v>
      </c>
    </row>
    <row r="21" spans="1:4" x14ac:dyDescent="0.25">
      <c r="A21" t="s">
        <v>292</v>
      </c>
      <c r="B21" t="s">
        <v>293</v>
      </c>
      <c r="C21" t="s">
        <v>314</v>
      </c>
      <c r="D21" t="s">
        <v>454</v>
      </c>
    </row>
    <row r="22" spans="1:4" x14ac:dyDescent="0.25">
      <c r="A22" t="s">
        <v>507</v>
      </c>
      <c r="B22" t="s">
        <v>294</v>
      </c>
      <c r="C22" t="s">
        <v>315</v>
      </c>
      <c r="D22" t="s">
        <v>455</v>
      </c>
    </row>
    <row r="23" spans="1:4" x14ac:dyDescent="0.25">
      <c r="A23" t="s">
        <v>295</v>
      </c>
      <c r="B23" s="8" t="s">
        <v>599</v>
      </c>
      <c r="C23" t="s">
        <v>316</v>
      </c>
      <c r="D23" t="s">
        <v>456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opLeftCell="A5" workbookViewId="0">
      <selection activeCell="A2" sqref="A2:B25"/>
    </sheetView>
  </sheetViews>
  <sheetFormatPr defaultRowHeight="14.4" x14ac:dyDescent="0.25"/>
  <cols>
    <col min="1" max="1" width="18.21875" customWidth="1"/>
    <col min="2" max="2" width="47.77734375" customWidth="1"/>
    <col min="3" max="3" width="16.88671875" customWidth="1"/>
    <col min="4" max="4" width="18.5546875" customWidth="1"/>
  </cols>
  <sheetData>
    <row r="1" spans="1:4" x14ac:dyDescent="0.25">
      <c r="A1" t="s">
        <v>206</v>
      </c>
      <c r="B1" t="s">
        <v>321</v>
      </c>
      <c r="C1" t="s">
        <v>322</v>
      </c>
    </row>
    <row r="2" spans="1:4" x14ac:dyDescent="0.25">
      <c r="A2" t="s">
        <v>43</v>
      </c>
      <c r="B2" t="s">
        <v>132</v>
      </c>
      <c r="C2" t="s">
        <v>323</v>
      </c>
      <c r="D2" t="s">
        <v>436</v>
      </c>
    </row>
    <row r="3" spans="1:4" x14ac:dyDescent="0.25">
      <c r="A3" t="s">
        <v>19</v>
      </c>
      <c r="B3" t="s">
        <v>130</v>
      </c>
      <c r="C3" t="s">
        <v>324</v>
      </c>
      <c r="D3" t="s">
        <v>457</v>
      </c>
    </row>
    <row r="4" spans="1:4" x14ac:dyDescent="0.25">
      <c r="A4" t="s">
        <v>18</v>
      </c>
      <c r="B4" t="s">
        <v>131</v>
      </c>
      <c r="C4" t="s">
        <v>298</v>
      </c>
      <c r="D4" t="s">
        <v>458</v>
      </c>
    </row>
    <row r="5" spans="1:4" x14ac:dyDescent="0.25">
      <c r="A5" t="s">
        <v>534</v>
      </c>
      <c r="B5" t="s">
        <v>114</v>
      </c>
      <c r="C5" t="s">
        <v>325</v>
      </c>
      <c r="D5" t="s">
        <v>459</v>
      </c>
    </row>
    <row r="6" spans="1:4" x14ac:dyDescent="0.25">
      <c r="A6" t="s">
        <v>529</v>
      </c>
      <c r="B6" t="s">
        <v>134</v>
      </c>
      <c r="C6" t="s">
        <v>434</v>
      </c>
      <c r="D6" t="s">
        <v>460</v>
      </c>
    </row>
    <row r="7" spans="1:4" x14ac:dyDescent="0.25">
      <c r="A7" t="s">
        <v>530</v>
      </c>
      <c r="B7" t="s">
        <v>135</v>
      </c>
      <c r="C7" t="s">
        <v>326</v>
      </c>
      <c r="D7" t="s">
        <v>441</v>
      </c>
    </row>
    <row r="8" spans="1:4" x14ac:dyDescent="0.25">
      <c r="A8" t="s">
        <v>47</v>
      </c>
      <c r="B8" t="s">
        <v>136</v>
      </c>
      <c r="C8" t="s">
        <v>327</v>
      </c>
      <c r="D8" t="s">
        <v>461</v>
      </c>
    </row>
    <row r="9" spans="1:4" x14ac:dyDescent="0.25">
      <c r="A9" t="s">
        <v>48</v>
      </c>
      <c r="B9" t="s">
        <v>137</v>
      </c>
      <c r="C9" t="s">
        <v>328</v>
      </c>
      <c r="D9" t="s">
        <v>462</v>
      </c>
    </row>
    <row r="10" spans="1:4" x14ac:dyDescent="0.25">
      <c r="A10" t="s">
        <v>531</v>
      </c>
      <c r="B10" t="s">
        <v>138</v>
      </c>
      <c r="C10" t="s">
        <v>171</v>
      </c>
      <c r="D10" t="s">
        <v>445</v>
      </c>
    </row>
    <row r="11" spans="1:4" x14ac:dyDescent="0.25">
      <c r="A11" t="s">
        <v>533</v>
      </c>
      <c r="B11" t="s">
        <v>139</v>
      </c>
      <c r="C11" t="s">
        <v>329</v>
      </c>
      <c r="D11" t="s">
        <v>463</v>
      </c>
    </row>
    <row r="12" spans="1:4" x14ac:dyDescent="0.25">
      <c r="A12" t="s">
        <v>51</v>
      </c>
      <c r="B12" t="s">
        <v>141</v>
      </c>
      <c r="C12" t="s">
        <v>330</v>
      </c>
      <c r="D12" t="s">
        <v>464</v>
      </c>
    </row>
    <row r="13" spans="1:4" x14ac:dyDescent="0.25">
      <c r="A13" t="s">
        <v>28</v>
      </c>
      <c r="B13" t="s">
        <v>140</v>
      </c>
      <c r="C13" t="s">
        <v>309</v>
      </c>
      <c r="D13" t="s">
        <v>465</v>
      </c>
    </row>
    <row r="14" spans="1:4" x14ac:dyDescent="0.25">
      <c r="A14" t="s">
        <v>29</v>
      </c>
      <c r="B14" t="s">
        <v>143</v>
      </c>
      <c r="C14" t="s">
        <v>174</v>
      </c>
      <c r="D14" t="s">
        <v>466</v>
      </c>
    </row>
    <row r="15" spans="1:4" x14ac:dyDescent="0.25">
      <c r="A15" t="s">
        <v>30</v>
      </c>
      <c r="B15" t="s">
        <v>145</v>
      </c>
      <c r="C15" t="s">
        <v>331</v>
      </c>
      <c r="D15" t="s">
        <v>450</v>
      </c>
    </row>
    <row r="16" spans="1:4" x14ac:dyDescent="0.25">
      <c r="A16" s="1" t="s">
        <v>536</v>
      </c>
      <c r="B16" t="s">
        <v>142</v>
      </c>
      <c r="C16" t="s">
        <v>308</v>
      </c>
      <c r="D16" t="s">
        <v>467</v>
      </c>
    </row>
    <row r="17" spans="1:4" x14ac:dyDescent="0.25">
      <c r="A17" t="s">
        <v>535</v>
      </c>
      <c r="B17" t="s">
        <v>148</v>
      </c>
      <c r="C17" t="s">
        <v>332</v>
      </c>
      <c r="D17" t="s">
        <v>468</v>
      </c>
    </row>
    <row r="18" spans="1:4" x14ac:dyDescent="0.25">
      <c r="A18" t="s">
        <v>35</v>
      </c>
      <c r="B18" t="s">
        <v>146</v>
      </c>
      <c r="C18" t="s">
        <v>333</v>
      </c>
      <c r="D18" t="s">
        <v>175</v>
      </c>
    </row>
    <row r="19" spans="1:4" x14ac:dyDescent="0.25">
      <c r="A19" t="s">
        <v>36</v>
      </c>
      <c r="B19" t="s">
        <v>147</v>
      </c>
      <c r="C19" t="s">
        <v>334</v>
      </c>
      <c r="D19" t="s">
        <v>334</v>
      </c>
    </row>
    <row r="20" spans="1:4" x14ac:dyDescent="0.25">
      <c r="A20" t="s">
        <v>317</v>
      </c>
      <c r="B20" t="s">
        <v>291</v>
      </c>
      <c r="C20" t="s">
        <v>335</v>
      </c>
      <c r="D20" t="s">
        <v>313</v>
      </c>
    </row>
    <row r="21" spans="1:4" x14ac:dyDescent="0.25">
      <c r="A21" t="s">
        <v>532</v>
      </c>
      <c r="B21" t="s">
        <v>318</v>
      </c>
      <c r="C21" t="s">
        <v>336</v>
      </c>
      <c r="D21" t="s">
        <v>314</v>
      </c>
    </row>
    <row r="22" spans="1:4" x14ac:dyDescent="0.25">
      <c r="A22" t="s">
        <v>54</v>
      </c>
      <c r="B22" t="s">
        <v>149</v>
      </c>
      <c r="C22" t="s">
        <v>337</v>
      </c>
      <c r="D22" t="s">
        <v>469</v>
      </c>
    </row>
    <row r="23" spans="1:4" x14ac:dyDescent="0.25">
      <c r="A23" t="s">
        <v>55</v>
      </c>
      <c r="B23" t="s">
        <v>150</v>
      </c>
      <c r="C23" t="s">
        <v>338</v>
      </c>
      <c r="D23" t="s">
        <v>315</v>
      </c>
    </row>
    <row r="24" spans="1:4" x14ac:dyDescent="0.25">
      <c r="A24" t="s">
        <v>40</v>
      </c>
      <c r="B24" t="s">
        <v>129</v>
      </c>
      <c r="C24" t="s">
        <v>339</v>
      </c>
      <c r="D24" t="s">
        <v>296</v>
      </c>
    </row>
    <row r="25" spans="1:4" x14ac:dyDescent="0.25">
      <c r="A25" t="s">
        <v>319</v>
      </c>
      <c r="B25" t="s">
        <v>320</v>
      </c>
      <c r="C25" t="s">
        <v>340</v>
      </c>
      <c r="D25" t="s">
        <v>316</v>
      </c>
    </row>
  </sheetData>
  <phoneticPr fontId="1" type="noConversion"/>
  <conditionalFormatting sqref="A1:A1048576">
    <cfRule type="duplicateValues" dxfId="4" priority="1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opLeftCell="A7" workbookViewId="0">
      <selection activeCell="A2" sqref="A2:B27"/>
    </sheetView>
  </sheetViews>
  <sheetFormatPr defaultRowHeight="14.4" x14ac:dyDescent="0.25"/>
  <cols>
    <col min="1" max="1" width="21.5546875" customWidth="1"/>
    <col min="2" max="2" width="59.88671875" customWidth="1"/>
    <col min="3" max="3" width="10.6640625" customWidth="1"/>
  </cols>
  <sheetData>
    <row r="1" spans="1:4" x14ac:dyDescent="0.25">
      <c r="A1" t="s">
        <v>341</v>
      </c>
      <c r="B1" t="s">
        <v>342</v>
      </c>
    </row>
    <row r="2" spans="1:4" x14ac:dyDescent="0.25">
      <c r="A2" t="s">
        <v>343</v>
      </c>
      <c r="B2" t="s">
        <v>272</v>
      </c>
      <c r="C2" t="s">
        <v>375</v>
      </c>
      <c r="D2" t="s">
        <v>470</v>
      </c>
    </row>
    <row r="3" spans="1:4" x14ac:dyDescent="0.25">
      <c r="A3" t="s">
        <v>344</v>
      </c>
      <c r="B3" t="s">
        <v>345</v>
      </c>
      <c r="C3" t="s">
        <v>298</v>
      </c>
      <c r="D3" t="s">
        <v>471</v>
      </c>
    </row>
    <row r="4" spans="1:4" x14ac:dyDescent="0.25">
      <c r="A4" t="s">
        <v>508</v>
      </c>
      <c r="B4" t="s">
        <v>346</v>
      </c>
      <c r="C4" t="s">
        <v>324</v>
      </c>
      <c r="D4" t="s">
        <v>457</v>
      </c>
    </row>
    <row r="5" spans="1:4" x14ac:dyDescent="0.25">
      <c r="A5" t="s">
        <v>509</v>
      </c>
      <c r="B5" t="s">
        <v>179</v>
      </c>
      <c r="C5" t="s">
        <v>428</v>
      </c>
      <c r="D5" t="s">
        <v>459</v>
      </c>
    </row>
    <row r="6" spans="1:4" x14ac:dyDescent="0.25">
      <c r="A6" t="s">
        <v>516</v>
      </c>
      <c r="B6" t="s">
        <v>347</v>
      </c>
      <c r="C6" t="s">
        <v>434</v>
      </c>
      <c r="D6" t="s">
        <v>440</v>
      </c>
    </row>
    <row r="7" spans="1:4" x14ac:dyDescent="0.25">
      <c r="A7" t="s">
        <v>348</v>
      </c>
      <c r="B7" t="s">
        <v>349</v>
      </c>
      <c r="C7" t="s">
        <v>302</v>
      </c>
      <c r="D7" t="s">
        <v>472</v>
      </c>
    </row>
    <row r="8" spans="1:4" x14ac:dyDescent="0.25">
      <c r="A8" t="s">
        <v>510</v>
      </c>
      <c r="B8" t="s">
        <v>350</v>
      </c>
      <c r="C8" t="s">
        <v>376</v>
      </c>
      <c r="D8" t="s">
        <v>461</v>
      </c>
    </row>
    <row r="9" spans="1:4" x14ac:dyDescent="0.25">
      <c r="A9" t="s">
        <v>518</v>
      </c>
      <c r="B9" t="s">
        <v>352</v>
      </c>
      <c r="C9" t="s">
        <v>377</v>
      </c>
      <c r="D9" t="s">
        <v>473</v>
      </c>
    </row>
    <row r="10" spans="1:4" x14ac:dyDescent="0.25">
      <c r="A10" t="s">
        <v>517</v>
      </c>
      <c r="B10" t="s">
        <v>353</v>
      </c>
      <c r="C10" t="s">
        <v>263</v>
      </c>
      <c r="D10" t="s">
        <v>474</v>
      </c>
    </row>
    <row r="11" spans="1:4" x14ac:dyDescent="0.25">
      <c r="A11" t="s">
        <v>511</v>
      </c>
      <c r="B11" t="s">
        <v>354</v>
      </c>
      <c r="C11" t="s">
        <v>378</v>
      </c>
      <c r="D11" t="s">
        <v>475</v>
      </c>
    </row>
    <row r="12" spans="1:4" x14ac:dyDescent="0.25">
      <c r="A12" t="s">
        <v>355</v>
      </c>
      <c r="B12" t="s">
        <v>356</v>
      </c>
      <c r="C12" t="s">
        <v>310</v>
      </c>
      <c r="D12" t="s">
        <v>310</v>
      </c>
    </row>
    <row r="13" spans="1:4" x14ac:dyDescent="0.25">
      <c r="A13" t="s">
        <v>357</v>
      </c>
      <c r="B13" t="s">
        <v>358</v>
      </c>
      <c r="C13" t="s">
        <v>379</v>
      </c>
      <c r="D13" t="s">
        <v>266</v>
      </c>
    </row>
    <row r="14" spans="1:4" x14ac:dyDescent="0.25">
      <c r="A14" t="s">
        <v>359</v>
      </c>
      <c r="B14" t="s">
        <v>360</v>
      </c>
      <c r="C14" t="s">
        <v>380</v>
      </c>
      <c r="D14" t="s">
        <v>380</v>
      </c>
    </row>
    <row r="15" spans="1:4" x14ac:dyDescent="0.25">
      <c r="A15" t="s">
        <v>361</v>
      </c>
      <c r="B15" t="s">
        <v>362</v>
      </c>
      <c r="C15" t="s">
        <v>381</v>
      </c>
      <c r="D15" t="s">
        <v>381</v>
      </c>
    </row>
    <row r="16" spans="1:4" x14ac:dyDescent="0.25">
      <c r="A16" t="s">
        <v>512</v>
      </c>
      <c r="B16" t="s">
        <v>229</v>
      </c>
      <c r="C16" t="s">
        <v>382</v>
      </c>
      <c r="D16" t="s">
        <v>309</v>
      </c>
    </row>
    <row r="17" spans="1:4" x14ac:dyDescent="0.25">
      <c r="A17" t="s">
        <v>363</v>
      </c>
      <c r="B17" t="s">
        <v>364</v>
      </c>
      <c r="C17" t="s">
        <v>174</v>
      </c>
      <c r="D17" t="s">
        <v>174</v>
      </c>
    </row>
    <row r="18" spans="1:4" x14ac:dyDescent="0.25">
      <c r="A18" t="s">
        <v>365</v>
      </c>
      <c r="B18" t="s">
        <v>216</v>
      </c>
      <c r="C18" t="s">
        <v>383</v>
      </c>
      <c r="D18" t="s">
        <v>311</v>
      </c>
    </row>
    <row r="19" spans="1:4" x14ac:dyDescent="0.25">
      <c r="A19" t="s">
        <v>519</v>
      </c>
      <c r="B19" t="s">
        <v>366</v>
      </c>
      <c r="C19" t="s">
        <v>384</v>
      </c>
      <c r="D19" t="s">
        <v>384</v>
      </c>
    </row>
    <row r="20" spans="1:4" x14ac:dyDescent="0.25">
      <c r="A20" t="s">
        <v>520</v>
      </c>
      <c r="B20" t="s">
        <v>367</v>
      </c>
      <c r="C20" t="s">
        <v>386</v>
      </c>
      <c r="D20" t="s">
        <v>386</v>
      </c>
    </row>
    <row r="21" spans="1:4" x14ac:dyDescent="0.25">
      <c r="A21" t="s">
        <v>228</v>
      </c>
      <c r="B21" s="8" t="s">
        <v>147</v>
      </c>
      <c r="C21" t="s">
        <v>385</v>
      </c>
      <c r="D21" t="s">
        <v>334</v>
      </c>
    </row>
    <row r="22" spans="1:4" x14ac:dyDescent="0.25">
      <c r="A22" t="s">
        <v>513</v>
      </c>
      <c r="B22" t="s">
        <v>368</v>
      </c>
      <c r="C22" t="s">
        <v>387</v>
      </c>
      <c r="D22" t="s">
        <v>387</v>
      </c>
    </row>
    <row r="23" spans="1:4" x14ac:dyDescent="0.25">
      <c r="A23" t="s">
        <v>515</v>
      </c>
      <c r="B23" t="s">
        <v>369</v>
      </c>
      <c r="C23" t="s">
        <v>388</v>
      </c>
      <c r="D23" t="s">
        <v>314</v>
      </c>
    </row>
    <row r="24" spans="1:4" x14ac:dyDescent="0.25">
      <c r="A24" t="s">
        <v>370</v>
      </c>
      <c r="B24" t="s">
        <v>371</v>
      </c>
      <c r="C24" t="s">
        <v>389</v>
      </c>
      <c r="D24" t="s">
        <v>389</v>
      </c>
    </row>
    <row r="25" spans="1:4" x14ac:dyDescent="0.25">
      <c r="A25" t="s">
        <v>372</v>
      </c>
      <c r="B25" t="s">
        <v>373</v>
      </c>
      <c r="C25" t="s">
        <v>390</v>
      </c>
      <c r="D25" t="s">
        <v>315</v>
      </c>
    </row>
    <row r="26" spans="1:4" x14ac:dyDescent="0.25">
      <c r="A26" t="s">
        <v>514</v>
      </c>
      <c r="B26" t="s">
        <v>374</v>
      </c>
      <c r="C26" t="s">
        <v>391</v>
      </c>
      <c r="D26" t="s">
        <v>296</v>
      </c>
    </row>
    <row r="27" spans="1:4" x14ac:dyDescent="0.25">
      <c r="A27" t="s">
        <v>295</v>
      </c>
      <c r="B27" t="s">
        <v>320</v>
      </c>
      <c r="C27" t="s">
        <v>392</v>
      </c>
      <c r="D27" t="s">
        <v>316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opLeftCell="A9" workbookViewId="0">
      <selection activeCell="A2" sqref="A2:B29"/>
    </sheetView>
  </sheetViews>
  <sheetFormatPr defaultRowHeight="14.4" x14ac:dyDescent="0.25"/>
  <cols>
    <col min="1" max="1" width="22" customWidth="1"/>
    <col min="2" max="2" width="51.109375" customWidth="1"/>
    <col min="3" max="3" width="19.33203125" customWidth="1"/>
  </cols>
  <sheetData>
    <row r="1" spans="1:4" x14ac:dyDescent="0.25">
      <c r="A1" t="s">
        <v>393</v>
      </c>
      <c r="B1" t="s">
        <v>342</v>
      </c>
      <c r="C1" t="s">
        <v>230</v>
      </c>
    </row>
    <row r="2" spans="1:4" x14ac:dyDescent="0.25">
      <c r="A2" t="s">
        <v>394</v>
      </c>
      <c r="B2" t="s">
        <v>272</v>
      </c>
      <c r="C2" t="s">
        <v>426</v>
      </c>
      <c r="D2" t="s">
        <v>476</v>
      </c>
    </row>
    <row r="3" spans="1:4" x14ac:dyDescent="0.25">
      <c r="A3" t="s">
        <v>395</v>
      </c>
      <c r="B3" t="s">
        <v>396</v>
      </c>
      <c r="C3" t="s">
        <v>427</v>
      </c>
      <c r="D3" t="s">
        <v>458</v>
      </c>
    </row>
    <row r="4" spans="1:4" x14ac:dyDescent="0.25">
      <c r="A4" t="s">
        <v>397</v>
      </c>
      <c r="B4" t="s">
        <v>398</v>
      </c>
      <c r="C4" t="s">
        <v>324</v>
      </c>
      <c r="D4" t="s">
        <v>457</v>
      </c>
    </row>
    <row r="5" spans="1:4" x14ac:dyDescent="0.25">
      <c r="A5" t="s">
        <v>399</v>
      </c>
      <c r="B5" t="s">
        <v>179</v>
      </c>
      <c r="C5" t="s">
        <v>428</v>
      </c>
      <c r="D5" t="s">
        <v>477</v>
      </c>
    </row>
    <row r="6" spans="1:4" x14ac:dyDescent="0.25">
      <c r="A6" t="s">
        <v>521</v>
      </c>
      <c r="B6" t="s">
        <v>400</v>
      </c>
      <c r="C6" t="s">
        <v>429</v>
      </c>
      <c r="D6" t="s">
        <v>478</v>
      </c>
    </row>
    <row r="7" spans="1:4" x14ac:dyDescent="0.25">
      <c r="A7" t="s">
        <v>401</v>
      </c>
      <c r="B7" t="s">
        <v>349</v>
      </c>
      <c r="C7" t="s">
        <v>302</v>
      </c>
      <c r="D7" t="s">
        <v>441</v>
      </c>
    </row>
    <row r="8" spans="1:4" x14ac:dyDescent="0.25">
      <c r="A8" t="s">
        <v>402</v>
      </c>
      <c r="B8" t="s">
        <v>403</v>
      </c>
      <c r="C8" t="s">
        <v>303</v>
      </c>
      <c r="D8" t="s">
        <v>479</v>
      </c>
    </row>
    <row r="9" spans="1:4" x14ac:dyDescent="0.25">
      <c r="A9" t="s">
        <v>351</v>
      </c>
      <c r="B9" t="s">
        <v>352</v>
      </c>
      <c r="C9" t="s">
        <v>377</v>
      </c>
      <c r="D9" t="s">
        <v>480</v>
      </c>
    </row>
    <row r="10" spans="1:4" x14ac:dyDescent="0.25">
      <c r="A10" t="s">
        <v>522</v>
      </c>
      <c r="B10" t="s">
        <v>404</v>
      </c>
      <c r="C10" t="s">
        <v>430</v>
      </c>
      <c r="D10" t="s">
        <v>171</v>
      </c>
    </row>
    <row r="11" spans="1:4" x14ac:dyDescent="0.25">
      <c r="A11" t="s">
        <v>405</v>
      </c>
      <c r="B11" t="s">
        <v>406</v>
      </c>
      <c r="C11" t="s">
        <v>431</v>
      </c>
      <c r="D11" t="s">
        <v>306</v>
      </c>
    </row>
    <row r="12" spans="1:4" x14ac:dyDescent="0.25">
      <c r="A12" t="s">
        <v>523</v>
      </c>
      <c r="B12" t="s">
        <v>213</v>
      </c>
      <c r="C12" t="s">
        <v>379</v>
      </c>
      <c r="D12" t="s">
        <v>266</v>
      </c>
    </row>
    <row r="13" spans="1:4" x14ac:dyDescent="0.25">
      <c r="A13" t="s">
        <v>407</v>
      </c>
      <c r="B13" t="s">
        <v>360</v>
      </c>
      <c r="C13" t="s">
        <v>380</v>
      </c>
      <c r="D13" t="s">
        <v>380</v>
      </c>
    </row>
    <row r="14" spans="1:4" x14ac:dyDescent="0.25">
      <c r="A14" t="s">
        <v>361</v>
      </c>
      <c r="B14" t="s">
        <v>408</v>
      </c>
      <c r="C14" t="s">
        <v>381</v>
      </c>
      <c r="D14" t="s">
        <v>381</v>
      </c>
    </row>
    <row r="15" spans="1:4" x14ac:dyDescent="0.25">
      <c r="A15" t="s">
        <v>283</v>
      </c>
      <c r="B15" t="s">
        <v>229</v>
      </c>
      <c r="C15" t="s">
        <v>382</v>
      </c>
      <c r="D15" t="s">
        <v>309</v>
      </c>
    </row>
    <row r="16" spans="1:4" x14ac:dyDescent="0.25">
      <c r="A16" t="s">
        <v>524</v>
      </c>
      <c r="B16" t="s">
        <v>409</v>
      </c>
      <c r="C16" t="s">
        <v>310</v>
      </c>
      <c r="D16" t="s">
        <v>310</v>
      </c>
    </row>
    <row r="17" spans="1:4" x14ac:dyDescent="0.25">
      <c r="A17" t="s">
        <v>246</v>
      </c>
      <c r="B17" t="s">
        <v>286</v>
      </c>
      <c r="C17" t="s">
        <v>174</v>
      </c>
      <c r="D17" t="s">
        <v>174</v>
      </c>
    </row>
    <row r="18" spans="1:4" x14ac:dyDescent="0.25">
      <c r="A18" t="s">
        <v>410</v>
      </c>
      <c r="B18" t="s">
        <v>216</v>
      </c>
      <c r="C18" t="s">
        <v>383</v>
      </c>
      <c r="D18" t="s">
        <v>311</v>
      </c>
    </row>
    <row r="19" spans="1:4" x14ac:dyDescent="0.25">
      <c r="A19" t="s">
        <v>525</v>
      </c>
      <c r="B19" t="s">
        <v>411</v>
      </c>
      <c r="C19" t="s">
        <v>384</v>
      </c>
      <c r="D19" t="s">
        <v>384</v>
      </c>
    </row>
    <row r="20" spans="1:4" x14ac:dyDescent="0.25">
      <c r="A20" t="s">
        <v>526</v>
      </c>
      <c r="B20" t="s">
        <v>412</v>
      </c>
      <c r="C20" t="s">
        <v>386</v>
      </c>
      <c r="D20" t="s">
        <v>386</v>
      </c>
    </row>
    <row r="21" spans="1:4" x14ac:dyDescent="0.25">
      <c r="A21" t="s">
        <v>413</v>
      </c>
      <c r="B21" t="s">
        <v>414</v>
      </c>
      <c r="C21" t="s">
        <v>385</v>
      </c>
      <c r="D21" t="s">
        <v>334</v>
      </c>
    </row>
    <row r="22" spans="1:4" x14ac:dyDescent="0.25">
      <c r="A22" t="s">
        <v>415</v>
      </c>
      <c r="B22" t="s">
        <v>416</v>
      </c>
      <c r="C22" t="s">
        <v>432</v>
      </c>
      <c r="D22" t="s">
        <v>432</v>
      </c>
    </row>
    <row r="23" spans="1:4" x14ac:dyDescent="0.25">
      <c r="A23" t="s">
        <v>417</v>
      </c>
      <c r="B23" t="s">
        <v>418</v>
      </c>
      <c r="C23" t="s">
        <v>433</v>
      </c>
      <c r="D23" t="s">
        <v>433</v>
      </c>
    </row>
    <row r="24" spans="1:4" x14ac:dyDescent="0.25">
      <c r="A24" t="s">
        <v>419</v>
      </c>
      <c r="B24" t="s">
        <v>371</v>
      </c>
      <c r="C24" t="s">
        <v>389</v>
      </c>
      <c r="D24" t="s">
        <v>389</v>
      </c>
    </row>
    <row r="25" spans="1:4" x14ac:dyDescent="0.25">
      <c r="A25" t="s">
        <v>420</v>
      </c>
      <c r="B25" t="s">
        <v>527</v>
      </c>
      <c r="C25" t="s">
        <v>387</v>
      </c>
      <c r="D25" t="s">
        <v>387</v>
      </c>
    </row>
    <row r="26" spans="1:4" x14ac:dyDescent="0.25">
      <c r="A26" t="s">
        <v>421</v>
      </c>
      <c r="B26" t="s">
        <v>223</v>
      </c>
      <c r="C26" t="s">
        <v>388</v>
      </c>
      <c r="D26" t="s">
        <v>314</v>
      </c>
    </row>
    <row r="27" spans="1:4" x14ac:dyDescent="0.25">
      <c r="A27" t="s">
        <v>422</v>
      </c>
      <c r="B27" t="s">
        <v>294</v>
      </c>
      <c r="C27" t="s">
        <v>390</v>
      </c>
      <c r="D27" t="s">
        <v>315</v>
      </c>
    </row>
    <row r="28" spans="1:4" x14ac:dyDescent="0.25">
      <c r="A28" t="s">
        <v>423</v>
      </c>
      <c r="B28" t="s">
        <v>528</v>
      </c>
      <c r="C28" t="s">
        <v>391</v>
      </c>
      <c r="D28" t="s">
        <v>296</v>
      </c>
    </row>
    <row r="29" spans="1:4" x14ac:dyDescent="0.25">
      <c r="A29" t="s">
        <v>424</v>
      </c>
      <c r="B29" t="s">
        <v>425</v>
      </c>
      <c r="C29" t="s">
        <v>392</v>
      </c>
      <c r="D29" t="s">
        <v>316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A2" sqref="A2:B19"/>
    </sheetView>
  </sheetViews>
  <sheetFormatPr defaultRowHeight="14.4" x14ac:dyDescent="0.25"/>
  <cols>
    <col min="1" max="1" width="33.5546875" customWidth="1"/>
    <col min="2" max="2" width="55.77734375" customWidth="1"/>
  </cols>
  <sheetData>
    <row r="1" spans="1:3" x14ac:dyDescent="0.25">
      <c r="A1" t="s">
        <v>537</v>
      </c>
      <c r="B1" t="s">
        <v>538</v>
      </c>
    </row>
    <row r="2" spans="1:3" x14ac:dyDescent="0.25">
      <c r="A2" t="s">
        <v>539</v>
      </c>
      <c r="B2" t="s">
        <v>540</v>
      </c>
      <c r="C2" t="s">
        <v>323</v>
      </c>
    </row>
    <row r="3" spans="1:3" x14ac:dyDescent="0.25">
      <c r="A3" t="s">
        <v>395</v>
      </c>
      <c r="B3" t="s">
        <v>541</v>
      </c>
      <c r="C3" t="s">
        <v>486</v>
      </c>
    </row>
    <row r="4" spans="1:3" x14ac:dyDescent="0.25">
      <c r="A4" t="s">
        <v>542</v>
      </c>
      <c r="B4" t="s">
        <v>543</v>
      </c>
      <c r="C4" t="s">
        <v>457</v>
      </c>
    </row>
    <row r="5" spans="1:3" x14ac:dyDescent="0.25">
      <c r="A5" t="s">
        <v>544</v>
      </c>
      <c r="B5" t="s">
        <v>545</v>
      </c>
      <c r="C5" t="s">
        <v>570</v>
      </c>
    </row>
    <row r="6" spans="1:3" x14ac:dyDescent="0.25">
      <c r="A6" t="s">
        <v>546</v>
      </c>
      <c r="B6" t="s">
        <v>547</v>
      </c>
      <c r="C6" t="s">
        <v>571</v>
      </c>
    </row>
    <row r="7" spans="1:3" x14ac:dyDescent="0.25">
      <c r="A7" t="s">
        <v>548</v>
      </c>
      <c r="B7" t="s">
        <v>212</v>
      </c>
      <c r="C7" t="s">
        <v>572</v>
      </c>
    </row>
    <row r="8" spans="1:3" x14ac:dyDescent="0.25">
      <c r="A8" t="s">
        <v>549</v>
      </c>
      <c r="B8" t="s">
        <v>550</v>
      </c>
      <c r="C8" t="s">
        <v>573</v>
      </c>
    </row>
    <row r="9" spans="1:3" x14ac:dyDescent="0.25">
      <c r="A9" t="s">
        <v>551</v>
      </c>
      <c r="B9" t="s">
        <v>552</v>
      </c>
      <c r="C9" t="s">
        <v>430</v>
      </c>
    </row>
    <row r="10" spans="1:3" x14ac:dyDescent="0.25">
      <c r="A10" t="s">
        <v>574</v>
      </c>
      <c r="B10" t="s">
        <v>553</v>
      </c>
      <c r="C10" t="s">
        <v>306</v>
      </c>
    </row>
    <row r="11" spans="1:3" x14ac:dyDescent="0.25">
      <c r="A11" t="s">
        <v>554</v>
      </c>
      <c r="B11" t="s">
        <v>555</v>
      </c>
      <c r="C11" t="s">
        <v>575</v>
      </c>
    </row>
    <row r="12" spans="1:3" x14ac:dyDescent="0.25">
      <c r="A12" t="s">
        <v>556</v>
      </c>
      <c r="B12" t="s">
        <v>557</v>
      </c>
      <c r="C12" t="s">
        <v>499</v>
      </c>
    </row>
    <row r="13" spans="1:3" x14ac:dyDescent="0.25">
      <c r="A13" t="s">
        <v>558</v>
      </c>
      <c r="B13" t="s">
        <v>559</v>
      </c>
      <c r="C13" t="s">
        <v>576</v>
      </c>
    </row>
    <row r="14" spans="1:3" x14ac:dyDescent="0.25">
      <c r="A14" t="s">
        <v>560</v>
      </c>
      <c r="B14" t="s">
        <v>562</v>
      </c>
      <c r="C14" t="s">
        <v>577</v>
      </c>
    </row>
    <row r="15" spans="1:3" x14ac:dyDescent="0.25">
      <c r="A15" t="s">
        <v>561</v>
      </c>
      <c r="B15" t="s">
        <v>563</v>
      </c>
      <c r="C15" t="s">
        <v>578</v>
      </c>
    </row>
    <row r="16" spans="1:3" x14ac:dyDescent="0.25">
      <c r="A16" t="s">
        <v>564</v>
      </c>
      <c r="B16" t="s">
        <v>565</v>
      </c>
      <c r="C16" t="s">
        <v>579</v>
      </c>
    </row>
    <row r="17" spans="1:3" x14ac:dyDescent="0.25">
      <c r="A17" t="s">
        <v>566</v>
      </c>
      <c r="B17" t="s">
        <v>567</v>
      </c>
      <c r="C17" t="s">
        <v>597</v>
      </c>
    </row>
    <row r="18" spans="1:3" x14ac:dyDescent="0.25">
      <c r="A18" t="s">
        <v>568</v>
      </c>
      <c r="B18" t="s">
        <v>569</v>
      </c>
      <c r="C18" t="s">
        <v>580</v>
      </c>
    </row>
    <row r="19" spans="1:3" x14ac:dyDescent="0.25">
      <c r="A19" t="s">
        <v>295</v>
      </c>
      <c r="B19" t="s">
        <v>320</v>
      </c>
      <c r="C19" t="s">
        <v>581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2" sqref="A2:B6"/>
    </sheetView>
  </sheetViews>
  <sheetFormatPr defaultRowHeight="14.4" x14ac:dyDescent="0.25"/>
  <cols>
    <col min="1" max="1" width="13.109375" customWidth="1"/>
    <col min="2" max="2" width="26.77734375" customWidth="1"/>
    <col min="3" max="3" width="14.88671875" customWidth="1"/>
  </cols>
  <sheetData>
    <row r="1" spans="1:3" x14ac:dyDescent="0.25">
      <c r="A1" s="9" t="s">
        <v>592</v>
      </c>
      <c r="B1" s="9" t="s">
        <v>583</v>
      </c>
      <c r="C1" s="9" t="s">
        <v>230</v>
      </c>
    </row>
    <row r="2" spans="1:3" x14ac:dyDescent="0.25">
      <c r="A2" s="10" t="s">
        <v>584</v>
      </c>
      <c r="B2" s="10" t="s">
        <v>593</v>
      </c>
      <c r="C2" s="10" t="s">
        <v>571</v>
      </c>
    </row>
    <row r="3" spans="1:3" x14ac:dyDescent="0.25">
      <c r="A3" s="10" t="s">
        <v>582</v>
      </c>
      <c r="B3" s="10" t="s">
        <v>585</v>
      </c>
      <c r="C3" s="10" t="s">
        <v>594</v>
      </c>
    </row>
    <row r="4" spans="1:3" x14ac:dyDescent="0.25">
      <c r="A4" s="10" t="s">
        <v>586</v>
      </c>
      <c r="B4" s="10" t="s">
        <v>587</v>
      </c>
      <c r="C4" s="10" t="s">
        <v>598</v>
      </c>
    </row>
    <row r="5" spans="1:3" x14ac:dyDescent="0.25">
      <c r="A5" s="10" t="s">
        <v>588</v>
      </c>
      <c r="B5" s="10" t="s">
        <v>589</v>
      </c>
      <c r="C5" s="10" t="s">
        <v>595</v>
      </c>
    </row>
    <row r="6" spans="1:3" x14ac:dyDescent="0.25">
      <c r="A6" s="10" t="s">
        <v>590</v>
      </c>
      <c r="B6" s="10" t="s">
        <v>591</v>
      </c>
      <c r="C6" s="10" t="s">
        <v>596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"/>
  <sheetViews>
    <sheetView topLeftCell="A79" zoomScale="85" zoomScaleNormal="85" workbookViewId="0">
      <selection activeCell="I78" sqref="I78:K91"/>
    </sheetView>
  </sheetViews>
  <sheetFormatPr defaultRowHeight="14.4" x14ac:dyDescent="0.25"/>
  <cols>
    <col min="1" max="1" width="7.6640625" customWidth="1"/>
    <col min="2" max="3" width="12.77734375" customWidth="1"/>
    <col min="4" max="4" width="20.33203125" customWidth="1"/>
    <col min="5" max="5" width="15.21875" customWidth="1"/>
    <col min="6" max="6" width="12.5546875" customWidth="1"/>
    <col min="7" max="7" width="22" customWidth="1"/>
    <col min="8" max="8" width="10.21875" customWidth="1"/>
    <col min="9" max="9" width="10.44140625" customWidth="1"/>
    <col min="11" max="11" width="18.44140625" customWidth="1"/>
  </cols>
  <sheetData>
    <row r="1" spans="1:5" x14ac:dyDescent="0.25">
      <c r="A1" t="s">
        <v>600</v>
      </c>
      <c r="B1" t="s">
        <v>601</v>
      </c>
      <c r="D1" t="s">
        <v>603</v>
      </c>
    </row>
    <row r="2" spans="1:5" x14ac:dyDescent="0.25">
      <c r="A2" t="s">
        <v>607</v>
      </c>
    </row>
    <row r="16" spans="1:5" x14ac:dyDescent="0.25">
      <c r="A16" t="s">
        <v>206</v>
      </c>
      <c r="B16" t="s">
        <v>604</v>
      </c>
      <c r="D16" t="s">
        <v>611</v>
      </c>
      <c r="E16" t="s">
        <v>609</v>
      </c>
    </row>
    <row r="17" spans="1:4" x14ac:dyDescent="0.25">
      <c r="A17" t="s">
        <v>613</v>
      </c>
      <c r="B17">
        <v>1</v>
      </c>
    </row>
    <row r="18" spans="1:4" x14ac:dyDescent="0.25">
      <c r="A18" t="s">
        <v>612</v>
      </c>
      <c r="D18">
        <v>1</v>
      </c>
    </row>
    <row r="19" spans="1:4" x14ac:dyDescent="0.25">
      <c r="A19" t="s">
        <v>612</v>
      </c>
    </row>
    <row r="20" spans="1:4" x14ac:dyDescent="0.25">
      <c r="A20" t="s">
        <v>612</v>
      </c>
      <c r="B20">
        <v>1</v>
      </c>
    </row>
    <row r="21" spans="1:4" x14ac:dyDescent="0.25">
      <c r="A21" t="s">
        <v>612</v>
      </c>
      <c r="B21">
        <v>1</v>
      </c>
    </row>
    <row r="22" spans="1:4" x14ac:dyDescent="0.25">
      <c r="A22" t="s">
        <v>612</v>
      </c>
      <c r="B22">
        <v>1</v>
      </c>
    </row>
    <row r="23" spans="1:4" x14ac:dyDescent="0.25">
      <c r="A23" t="s">
        <v>612</v>
      </c>
    </row>
    <row r="24" spans="1:4" x14ac:dyDescent="0.25">
      <c r="A24" t="s">
        <v>612</v>
      </c>
      <c r="B24">
        <v>1</v>
      </c>
    </row>
    <row r="25" spans="1:4" x14ac:dyDescent="0.25">
      <c r="A25" t="s">
        <v>612</v>
      </c>
    </row>
    <row r="26" spans="1:4" x14ac:dyDescent="0.25">
      <c r="A26" t="s">
        <v>612</v>
      </c>
    </row>
    <row r="27" spans="1:4" x14ac:dyDescent="0.25">
      <c r="A27" t="s">
        <v>612</v>
      </c>
    </row>
    <row r="28" spans="1:4" x14ac:dyDescent="0.25">
      <c r="A28" t="s">
        <v>612</v>
      </c>
    </row>
    <row r="29" spans="1:4" x14ac:dyDescent="0.25">
      <c r="A29" t="s">
        <v>612</v>
      </c>
    </row>
    <row r="30" spans="1:4" x14ac:dyDescent="0.25">
      <c r="A30" t="s">
        <v>612</v>
      </c>
    </row>
    <row r="31" spans="1:4" x14ac:dyDescent="0.25">
      <c r="A31" t="s">
        <v>612</v>
      </c>
    </row>
    <row r="37" spans="1:9" x14ac:dyDescent="0.25">
      <c r="A37" t="s">
        <v>608</v>
      </c>
    </row>
    <row r="38" spans="1:9" x14ac:dyDescent="0.25">
      <c r="A38" t="s">
        <v>615</v>
      </c>
      <c r="B38" t="s">
        <v>605</v>
      </c>
      <c r="D38" t="s">
        <v>606</v>
      </c>
      <c r="E38" t="s">
        <v>605</v>
      </c>
      <c r="F38" t="s">
        <v>606</v>
      </c>
      <c r="G38" t="s">
        <v>605</v>
      </c>
      <c r="H38" t="s">
        <v>606</v>
      </c>
      <c r="I38" t="s">
        <v>605</v>
      </c>
    </row>
    <row r="39" spans="1:9" x14ac:dyDescent="0.25">
      <c r="A39" t="s">
        <v>616</v>
      </c>
      <c r="B39" t="s">
        <v>618</v>
      </c>
      <c r="D39" t="s">
        <v>619</v>
      </c>
      <c r="E39" t="s">
        <v>618</v>
      </c>
      <c r="F39" t="s">
        <v>619</v>
      </c>
      <c r="G39" t="s">
        <v>618</v>
      </c>
      <c r="H39" t="s">
        <v>619</v>
      </c>
      <c r="I39" t="s">
        <v>618</v>
      </c>
    </row>
    <row r="42" spans="1:9" x14ac:dyDescent="0.25">
      <c r="A42" t="s">
        <v>610</v>
      </c>
      <c r="B42" t="s">
        <v>605</v>
      </c>
      <c r="D42" t="s">
        <v>606</v>
      </c>
      <c r="E42" t="s">
        <v>605</v>
      </c>
      <c r="F42" t="s">
        <v>606</v>
      </c>
      <c r="G42" t="s">
        <v>605</v>
      </c>
      <c r="H42" t="s">
        <v>606</v>
      </c>
      <c r="I42" t="s">
        <v>605</v>
      </c>
    </row>
    <row r="43" spans="1:9" x14ac:dyDescent="0.25">
      <c r="A43" t="s">
        <v>617</v>
      </c>
      <c r="B43" t="s">
        <v>614</v>
      </c>
      <c r="D43" t="s">
        <v>339</v>
      </c>
      <c r="E43" t="s">
        <v>614</v>
      </c>
      <c r="F43" t="s">
        <v>339</v>
      </c>
      <c r="G43" t="s">
        <v>614</v>
      </c>
      <c r="H43" t="s">
        <v>339</v>
      </c>
      <c r="I43" t="s">
        <v>614</v>
      </c>
    </row>
    <row r="47" spans="1:9" x14ac:dyDescent="0.25">
      <c r="A47" t="s">
        <v>602</v>
      </c>
      <c r="B47" t="s">
        <v>618</v>
      </c>
      <c r="D47" t="s">
        <v>619</v>
      </c>
      <c r="E47" t="s">
        <v>618</v>
      </c>
      <c r="F47" t="s">
        <v>619</v>
      </c>
      <c r="G47" t="s">
        <v>618</v>
      </c>
      <c r="H47" t="s">
        <v>619</v>
      </c>
      <c r="I47" t="s">
        <v>618</v>
      </c>
    </row>
    <row r="48" spans="1:9" x14ac:dyDescent="0.25">
      <c r="A48" t="s">
        <v>610</v>
      </c>
      <c r="B48" t="s">
        <v>620</v>
      </c>
      <c r="D48" t="s">
        <v>620</v>
      </c>
      <c r="E48" t="s">
        <v>620</v>
      </c>
      <c r="F48" t="s">
        <v>620</v>
      </c>
      <c r="G48" t="s">
        <v>620</v>
      </c>
      <c r="H48" t="s">
        <v>620</v>
      </c>
      <c r="I48" t="s">
        <v>620</v>
      </c>
    </row>
    <row r="51" spans="1:12" x14ac:dyDescent="0.25">
      <c r="B51" s="24" t="s">
        <v>673</v>
      </c>
      <c r="C51" s="24"/>
      <c r="D51" s="24"/>
      <c r="E51" s="24"/>
    </row>
    <row r="52" spans="1:12" x14ac:dyDescent="0.25">
      <c r="B52" s="10" t="s">
        <v>621</v>
      </c>
      <c r="C52" s="10"/>
      <c r="D52" s="10" t="s">
        <v>622</v>
      </c>
      <c r="E52" s="10" t="s">
        <v>670</v>
      </c>
    </row>
    <row r="53" spans="1:12" x14ac:dyDescent="0.25">
      <c r="B53" s="10">
        <v>1</v>
      </c>
      <c r="C53" s="10"/>
      <c r="D53" s="10" t="s">
        <v>607</v>
      </c>
      <c r="E53" s="10">
        <v>1</v>
      </c>
    </row>
    <row r="54" spans="1:12" x14ac:dyDescent="0.25">
      <c r="B54" s="10">
        <v>2</v>
      </c>
      <c r="C54" s="10"/>
      <c r="D54" s="10" t="s">
        <v>623</v>
      </c>
      <c r="E54" s="10">
        <v>2</v>
      </c>
    </row>
    <row r="55" spans="1:12" x14ac:dyDescent="0.25">
      <c r="B55" s="10">
        <v>3</v>
      </c>
      <c r="C55" s="10"/>
      <c r="D55" s="10" t="s">
        <v>624</v>
      </c>
      <c r="E55" s="10">
        <v>3</v>
      </c>
    </row>
    <row r="56" spans="1:12" x14ac:dyDescent="0.25">
      <c r="B56" s="10">
        <v>4</v>
      </c>
      <c r="C56" s="10"/>
      <c r="D56" s="10" t="s">
        <v>625</v>
      </c>
      <c r="E56" s="10">
        <v>4</v>
      </c>
    </row>
    <row r="59" spans="1:12" x14ac:dyDescent="0.25">
      <c r="A59" s="24" t="s">
        <v>642</v>
      </c>
      <c r="B59" s="24"/>
      <c r="C59" s="24"/>
      <c r="D59" s="24"/>
      <c r="F59" s="25" t="s">
        <v>672</v>
      </c>
      <c r="G59" s="25"/>
      <c r="H59" s="25"/>
      <c r="J59" s="24"/>
      <c r="K59" s="24"/>
      <c r="L59" s="24"/>
    </row>
    <row r="60" spans="1:12" x14ac:dyDescent="0.25">
      <c r="A60" s="10" t="s">
        <v>621</v>
      </c>
      <c r="B60" s="10" t="s">
        <v>622</v>
      </c>
      <c r="C60" s="10" t="s">
        <v>677</v>
      </c>
      <c r="D60" s="10" t="s">
        <v>674</v>
      </c>
      <c r="F60" s="10" t="s">
        <v>630</v>
      </c>
      <c r="G60" s="10" t="s">
        <v>646</v>
      </c>
      <c r="H60" s="11" t="s">
        <v>645</v>
      </c>
      <c r="J60" s="10"/>
      <c r="K60" s="10"/>
      <c r="L60" s="10"/>
    </row>
    <row r="61" spans="1:12" x14ac:dyDescent="0.25">
      <c r="A61" s="10">
        <v>1</v>
      </c>
      <c r="B61" s="10" t="s">
        <v>607</v>
      </c>
      <c r="C61" s="10" t="s">
        <v>678</v>
      </c>
      <c r="D61" s="10"/>
      <c r="F61" s="10">
        <v>1</v>
      </c>
      <c r="G61" s="10" t="s">
        <v>231</v>
      </c>
      <c r="H61" s="10">
        <v>1</v>
      </c>
      <c r="J61" s="10"/>
      <c r="L61" s="10"/>
    </row>
    <row r="62" spans="1:12" x14ac:dyDescent="0.25">
      <c r="A62" s="10">
        <v>2</v>
      </c>
      <c r="B62" s="10" t="s">
        <v>623</v>
      </c>
      <c r="C62" s="10" t="s">
        <v>679</v>
      </c>
      <c r="D62" s="10"/>
      <c r="F62" s="10">
        <v>2</v>
      </c>
      <c r="G62" s="10" t="s">
        <v>298</v>
      </c>
      <c r="H62" s="10">
        <v>2</v>
      </c>
      <c r="J62" s="10"/>
      <c r="L62" s="10"/>
    </row>
    <row r="63" spans="1:12" x14ac:dyDescent="0.25">
      <c r="A63" s="10">
        <v>3</v>
      </c>
      <c r="B63" s="10" t="s">
        <v>624</v>
      </c>
      <c r="C63" s="10"/>
      <c r="D63" s="10"/>
      <c r="F63" s="10">
        <v>3</v>
      </c>
      <c r="G63" s="10" t="s">
        <v>299</v>
      </c>
      <c r="H63" s="10">
        <v>1</v>
      </c>
      <c r="J63" s="10"/>
      <c r="L63" s="10"/>
    </row>
    <row r="64" spans="1:12" x14ac:dyDescent="0.25">
      <c r="A64" s="10">
        <v>4</v>
      </c>
      <c r="B64" s="10" t="s">
        <v>625</v>
      </c>
      <c r="C64" s="10"/>
      <c r="D64" s="10"/>
      <c r="F64" s="10">
        <v>4</v>
      </c>
      <c r="G64" s="10" t="s">
        <v>232</v>
      </c>
      <c r="H64" s="10">
        <v>2</v>
      </c>
      <c r="J64" s="10"/>
      <c r="L64" s="10"/>
    </row>
    <row r="65" spans="1:12" x14ac:dyDescent="0.25">
      <c r="F65" s="10">
        <v>5</v>
      </c>
      <c r="G65" s="10" t="s">
        <v>233</v>
      </c>
      <c r="H65" s="10">
        <v>1</v>
      </c>
      <c r="J65" s="10"/>
      <c r="L65" s="10"/>
    </row>
    <row r="66" spans="1:12" x14ac:dyDescent="0.25">
      <c r="F66" s="10">
        <v>6</v>
      </c>
      <c r="G66" s="10" t="s">
        <v>234</v>
      </c>
      <c r="H66" s="10">
        <v>2</v>
      </c>
      <c r="J66" s="10"/>
      <c r="L66" s="10"/>
    </row>
    <row r="67" spans="1:12" x14ac:dyDescent="0.25">
      <c r="F67" s="10">
        <v>7</v>
      </c>
      <c r="G67" s="10" t="s">
        <v>235</v>
      </c>
      <c r="H67" s="10">
        <v>1</v>
      </c>
      <c r="J67" s="10"/>
      <c r="L67" s="10"/>
    </row>
    <row r="68" spans="1:12" x14ac:dyDescent="0.25">
      <c r="A68" s="27" t="s">
        <v>643</v>
      </c>
      <c r="B68" s="28"/>
      <c r="C68" s="14"/>
      <c r="F68" s="10">
        <v>8</v>
      </c>
      <c r="G68" s="10" t="s">
        <v>236</v>
      </c>
      <c r="H68" s="10">
        <v>2</v>
      </c>
      <c r="J68" s="10"/>
      <c r="L68" s="10"/>
    </row>
    <row r="69" spans="1:12" x14ac:dyDescent="0.25">
      <c r="A69" s="10" t="s">
        <v>621</v>
      </c>
      <c r="B69" s="10" t="s">
        <v>649</v>
      </c>
      <c r="C69" s="15"/>
      <c r="F69" s="10">
        <v>9</v>
      </c>
      <c r="G69" s="10" t="s">
        <v>237</v>
      </c>
      <c r="H69" s="10">
        <v>1</v>
      </c>
      <c r="J69" s="10"/>
      <c r="L69" s="10"/>
    </row>
    <row r="70" spans="1:12" x14ac:dyDescent="0.25">
      <c r="A70" s="10">
        <v>1</v>
      </c>
      <c r="B70" s="10" t="s">
        <v>626</v>
      </c>
      <c r="C70" s="15"/>
      <c r="F70" s="10">
        <v>10</v>
      </c>
      <c r="G70" s="10" t="s">
        <v>238</v>
      </c>
      <c r="H70" s="10">
        <v>2</v>
      </c>
      <c r="J70" s="10"/>
      <c r="L70" s="10"/>
    </row>
    <row r="71" spans="1:12" x14ac:dyDescent="0.25">
      <c r="A71" s="10">
        <v>2</v>
      </c>
      <c r="B71" s="10" t="s">
        <v>627</v>
      </c>
      <c r="C71" s="15"/>
      <c r="F71" s="10">
        <v>11</v>
      </c>
      <c r="G71" s="10" t="s">
        <v>239</v>
      </c>
      <c r="H71" s="10">
        <v>1</v>
      </c>
      <c r="J71" s="10"/>
      <c r="L71" s="10"/>
    </row>
    <row r="72" spans="1:12" x14ac:dyDescent="0.25">
      <c r="A72" s="10">
        <v>3</v>
      </c>
      <c r="B72" s="10" t="s">
        <v>628</v>
      </c>
      <c r="C72" s="15"/>
      <c r="F72" s="10">
        <v>12</v>
      </c>
      <c r="G72" s="10" t="s">
        <v>240</v>
      </c>
      <c r="H72" s="10">
        <v>2</v>
      </c>
      <c r="J72" s="10"/>
      <c r="L72" s="10"/>
    </row>
    <row r="73" spans="1:12" x14ac:dyDescent="0.25">
      <c r="A73" s="10">
        <v>4</v>
      </c>
      <c r="B73" s="10" t="s">
        <v>629</v>
      </c>
      <c r="C73" s="15"/>
      <c r="F73" s="10">
        <v>13</v>
      </c>
      <c r="G73" s="10" t="s">
        <v>241</v>
      </c>
      <c r="H73" s="10">
        <v>1</v>
      </c>
      <c r="J73" s="10"/>
      <c r="L73" s="10"/>
    </row>
    <row r="74" spans="1:12" x14ac:dyDescent="0.25">
      <c r="F74" s="11">
        <v>14</v>
      </c>
      <c r="G74" s="11" t="s">
        <v>632</v>
      </c>
      <c r="H74" s="11">
        <v>2</v>
      </c>
    </row>
    <row r="77" spans="1:12" x14ac:dyDescent="0.25">
      <c r="A77" s="26" t="s">
        <v>676</v>
      </c>
      <c r="B77" s="25"/>
      <c r="C77" s="25"/>
      <c r="D77" s="25"/>
      <c r="E77" s="25"/>
      <c r="F77" s="25"/>
      <c r="I77" s="25" t="s">
        <v>675</v>
      </c>
      <c r="J77" s="25"/>
      <c r="K77" s="25"/>
    </row>
    <row r="78" spans="1:12" x14ac:dyDescent="0.25">
      <c r="A78" s="10" t="s">
        <v>630</v>
      </c>
      <c r="B78" s="10" t="s">
        <v>633</v>
      </c>
      <c r="C78" s="10"/>
      <c r="D78" s="10" t="s">
        <v>631</v>
      </c>
      <c r="E78" s="11" t="s">
        <v>647</v>
      </c>
      <c r="F78" s="11" t="s">
        <v>648</v>
      </c>
      <c r="I78" s="10" t="s">
        <v>621</v>
      </c>
      <c r="J78" s="10" t="s">
        <v>646</v>
      </c>
      <c r="K78" s="10" t="s">
        <v>671</v>
      </c>
    </row>
    <row r="79" spans="1:12" x14ac:dyDescent="0.25">
      <c r="A79" s="10">
        <v>1</v>
      </c>
      <c r="B79" s="12">
        <v>45451</v>
      </c>
      <c r="C79" s="12"/>
      <c r="D79" s="10" t="s">
        <v>607</v>
      </c>
      <c r="E79" s="10" t="s">
        <v>641</v>
      </c>
      <c r="F79" s="10" t="s">
        <v>634</v>
      </c>
      <c r="I79" s="10">
        <v>1</v>
      </c>
      <c r="J79" s="10" t="s">
        <v>231</v>
      </c>
      <c r="K79" t="s">
        <v>208</v>
      </c>
    </row>
    <row r="80" spans="1:12" x14ac:dyDescent="0.25">
      <c r="A80" s="10">
        <v>2</v>
      </c>
      <c r="B80" s="12">
        <v>45451</v>
      </c>
      <c r="C80" s="12"/>
      <c r="D80" s="10" t="s">
        <v>623</v>
      </c>
      <c r="E80" s="10" t="s">
        <v>641</v>
      </c>
      <c r="F80" s="10" t="s">
        <v>634</v>
      </c>
      <c r="I80" s="10">
        <v>2</v>
      </c>
      <c r="J80" s="10" t="s">
        <v>298</v>
      </c>
      <c r="K80" t="s">
        <v>209</v>
      </c>
    </row>
    <row r="81" spans="1:11" x14ac:dyDescent="0.25">
      <c r="A81" s="10">
        <v>3</v>
      </c>
      <c r="B81" s="12">
        <v>45451</v>
      </c>
      <c r="C81" s="12"/>
      <c r="D81" s="10" t="s">
        <v>624</v>
      </c>
      <c r="E81" s="10" t="s">
        <v>641</v>
      </c>
      <c r="F81" s="10" t="s">
        <v>634</v>
      </c>
      <c r="I81" s="10">
        <v>3</v>
      </c>
      <c r="J81" s="10" t="s">
        <v>299</v>
      </c>
      <c r="K81" t="s">
        <v>667</v>
      </c>
    </row>
    <row r="82" spans="1:11" x14ac:dyDescent="0.25">
      <c r="A82" s="10">
        <v>4</v>
      </c>
      <c r="B82" s="12">
        <v>45451</v>
      </c>
      <c r="C82" s="12"/>
      <c r="D82" s="10" t="s">
        <v>625</v>
      </c>
      <c r="E82" s="10" t="s">
        <v>641</v>
      </c>
      <c r="F82" s="10" t="s">
        <v>634</v>
      </c>
      <c r="I82" s="10">
        <v>4</v>
      </c>
      <c r="J82" s="10" t="s">
        <v>232</v>
      </c>
      <c r="K82" t="s">
        <v>114</v>
      </c>
    </row>
    <row r="83" spans="1:11" x14ac:dyDescent="0.25">
      <c r="I83" s="10">
        <v>5</v>
      </c>
      <c r="J83" s="10" t="s">
        <v>233</v>
      </c>
      <c r="K83" t="s">
        <v>134</v>
      </c>
    </row>
    <row r="84" spans="1:11" x14ac:dyDescent="0.25">
      <c r="I84" s="10">
        <v>6</v>
      </c>
      <c r="J84" s="10" t="s">
        <v>234</v>
      </c>
      <c r="K84" t="s">
        <v>211</v>
      </c>
    </row>
    <row r="85" spans="1:11" x14ac:dyDescent="0.25">
      <c r="A85" s="27" t="s">
        <v>650</v>
      </c>
      <c r="B85" s="29"/>
      <c r="C85" s="29"/>
      <c r="D85" s="29"/>
      <c r="E85" s="29"/>
      <c r="F85" s="28"/>
      <c r="I85" s="10">
        <v>7</v>
      </c>
      <c r="J85" s="10" t="s">
        <v>235</v>
      </c>
      <c r="K85" t="s">
        <v>210</v>
      </c>
    </row>
    <row r="86" spans="1:11" x14ac:dyDescent="0.25">
      <c r="A86" s="10" t="s">
        <v>635</v>
      </c>
      <c r="B86" s="10" t="s">
        <v>633</v>
      </c>
      <c r="C86" s="10"/>
      <c r="D86" s="10" t="s">
        <v>636</v>
      </c>
      <c r="E86" s="10" t="s">
        <v>664</v>
      </c>
      <c r="F86" s="10" t="s">
        <v>665</v>
      </c>
      <c r="I86" s="10">
        <v>8</v>
      </c>
      <c r="J86" s="10" t="s">
        <v>236</v>
      </c>
      <c r="K86" t="s">
        <v>212</v>
      </c>
    </row>
    <row r="87" spans="1:11" x14ac:dyDescent="0.25">
      <c r="A87" s="10">
        <v>1</v>
      </c>
      <c r="B87" s="12">
        <v>45451</v>
      </c>
      <c r="C87" s="12"/>
      <c r="D87" s="10" t="s">
        <v>607</v>
      </c>
      <c r="E87" s="10" t="s">
        <v>668</v>
      </c>
      <c r="F87" s="10" t="s">
        <v>669</v>
      </c>
      <c r="I87" s="10">
        <v>9</v>
      </c>
      <c r="J87" s="10" t="s">
        <v>237</v>
      </c>
      <c r="K87" t="s">
        <v>138</v>
      </c>
    </row>
    <row r="88" spans="1:11" x14ac:dyDescent="0.25">
      <c r="A88" s="10">
        <v>2</v>
      </c>
      <c r="B88" s="12">
        <v>45451</v>
      </c>
      <c r="C88" s="12"/>
      <c r="D88" s="10" t="s">
        <v>623</v>
      </c>
      <c r="E88" s="10"/>
      <c r="F88" s="10"/>
      <c r="I88" s="10">
        <v>10</v>
      </c>
      <c r="J88" s="10" t="s">
        <v>238</v>
      </c>
      <c r="K88" t="s">
        <v>139</v>
      </c>
    </row>
    <row r="89" spans="1:11" x14ac:dyDescent="0.25">
      <c r="A89" s="10">
        <v>3</v>
      </c>
      <c r="B89" s="12">
        <v>45451</v>
      </c>
      <c r="C89" s="12"/>
      <c r="D89" s="10" t="s">
        <v>624</v>
      </c>
      <c r="E89" s="10"/>
      <c r="F89" s="10"/>
      <c r="I89" s="10">
        <v>11</v>
      </c>
      <c r="J89" s="10" t="s">
        <v>239</v>
      </c>
      <c r="K89" t="s">
        <v>214</v>
      </c>
    </row>
    <row r="90" spans="1:11" x14ac:dyDescent="0.25">
      <c r="A90" s="10">
        <v>4</v>
      </c>
      <c r="B90" s="12">
        <v>45451</v>
      </c>
      <c r="C90" s="12"/>
      <c r="D90" s="10" t="s">
        <v>625</v>
      </c>
      <c r="E90" s="10"/>
      <c r="F90" s="10"/>
      <c r="I90" s="10">
        <v>12</v>
      </c>
      <c r="J90" s="10" t="s">
        <v>240</v>
      </c>
      <c r="K90" t="s">
        <v>213</v>
      </c>
    </row>
    <row r="91" spans="1:11" x14ac:dyDescent="0.25">
      <c r="A91" s="10">
        <v>5</v>
      </c>
      <c r="B91" s="12">
        <v>45451</v>
      </c>
      <c r="C91" s="12"/>
      <c r="D91" s="10" t="s">
        <v>624</v>
      </c>
      <c r="E91" s="10"/>
      <c r="F91" s="10"/>
      <c r="I91" s="10">
        <v>13</v>
      </c>
      <c r="J91" s="10" t="s">
        <v>241</v>
      </c>
      <c r="K91" t="s">
        <v>133</v>
      </c>
    </row>
    <row r="92" spans="1:11" x14ac:dyDescent="0.25">
      <c r="A92" s="10">
        <v>6</v>
      </c>
      <c r="B92" s="12">
        <v>45451</v>
      </c>
      <c r="C92" s="12"/>
      <c r="D92" s="10" t="s">
        <v>625</v>
      </c>
      <c r="E92" s="10"/>
      <c r="F92" s="10"/>
      <c r="I92" s="11">
        <v>14</v>
      </c>
      <c r="J92" s="11" t="s">
        <v>231</v>
      </c>
      <c r="K92" s="11">
        <v>2</v>
      </c>
    </row>
    <row r="95" spans="1:11" x14ac:dyDescent="0.25">
      <c r="A95" s="24" t="s">
        <v>644</v>
      </c>
      <c r="B95" s="24"/>
      <c r="C95" s="24"/>
      <c r="D95" s="24"/>
      <c r="E95" s="24"/>
      <c r="F95" s="24"/>
      <c r="G95" s="24"/>
    </row>
    <row r="96" spans="1:11" x14ac:dyDescent="0.25">
      <c r="A96" s="10" t="s">
        <v>621</v>
      </c>
      <c r="B96" s="10" t="s">
        <v>633</v>
      </c>
      <c r="C96" s="10"/>
      <c r="D96" s="10" t="s">
        <v>637</v>
      </c>
      <c r="E96" s="10" t="s">
        <v>666</v>
      </c>
      <c r="F96" s="10" t="s">
        <v>638</v>
      </c>
      <c r="G96" s="10" t="s">
        <v>640</v>
      </c>
      <c r="H96" s="13"/>
      <c r="I96" s="10"/>
    </row>
    <row r="97" spans="1:7" x14ac:dyDescent="0.25">
      <c r="A97" s="10">
        <v>1</v>
      </c>
      <c r="B97" s="12">
        <v>45451</v>
      </c>
      <c r="C97" s="12"/>
      <c r="D97" s="10" t="s">
        <v>607</v>
      </c>
      <c r="E97" s="10" t="s">
        <v>296</v>
      </c>
      <c r="F97" s="10" t="s">
        <v>639</v>
      </c>
      <c r="G97" s="10">
        <v>1</v>
      </c>
    </row>
    <row r="98" spans="1:7" x14ac:dyDescent="0.25">
      <c r="A98" s="10">
        <v>2</v>
      </c>
      <c r="B98" s="12">
        <v>45451</v>
      </c>
      <c r="C98" s="12"/>
      <c r="D98" s="10" t="s">
        <v>623</v>
      </c>
      <c r="E98" s="10"/>
      <c r="F98" s="10"/>
      <c r="G98" s="10"/>
    </row>
    <row r="99" spans="1:7" x14ac:dyDescent="0.25">
      <c r="A99" s="10">
        <v>3</v>
      </c>
      <c r="B99" s="12">
        <v>45451</v>
      </c>
      <c r="C99" s="12"/>
      <c r="D99" s="10" t="s">
        <v>624</v>
      </c>
      <c r="E99" s="10"/>
      <c r="F99" s="10"/>
      <c r="G99" s="10"/>
    </row>
    <row r="100" spans="1:7" x14ac:dyDescent="0.25">
      <c r="A100" s="10">
        <v>4</v>
      </c>
      <c r="B100" s="12">
        <v>45451</v>
      </c>
      <c r="C100" s="12"/>
      <c r="D100" s="10" t="s">
        <v>625</v>
      </c>
      <c r="E100" s="10"/>
      <c r="F100" s="10"/>
      <c r="G100" s="10"/>
    </row>
    <row r="101" spans="1:7" x14ac:dyDescent="0.25">
      <c r="A101" s="10">
        <v>5</v>
      </c>
      <c r="B101" s="12">
        <v>45451</v>
      </c>
      <c r="C101" s="12"/>
      <c r="D101" s="10" t="s">
        <v>624</v>
      </c>
      <c r="E101" s="10"/>
      <c r="F101" s="10"/>
      <c r="G101" s="10"/>
    </row>
    <row r="102" spans="1:7" x14ac:dyDescent="0.25">
      <c r="A102" s="10">
        <v>6</v>
      </c>
      <c r="B102" s="12">
        <v>45451</v>
      </c>
      <c r="C102" s="12"/>
      <c r="D102" s="10" t="s">
        <v>625</v>
      </c>
      <c r="E102" s="10"/>
      <c r="F102" s="10"/>
      <c r="G102" s="10"/>
    </row>
  </sheetData>
  <mergeCells count="9">
    <mergeCell ref="B51:E51"/>
    <mergeCell ref="I77:K77"/>
    <mergeCell ref="J59:L59"/>
    <mergeCell ref="A95:G95"/>
    <mergeCell ref="A77:F77"/>
    <mergeCell ref="A68:B68"/>
    <mergeCell ref="A85:F85"/>
    <mergeCell ref="A59:D59"/>
    <mergeCell ref="F59:H59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M2" sqref="M2"/>
    </sheetView>
  </sheetViews>
  <sheetFormatPr defaultRowHeight="14.4" x14ac:dyDescent="0.25"/>
  <sheetData>
    <row r="1" spans="1:11" ht="15.6" x14ac:dyDescent="0.25">
      <c r="A1" s="21"/>
      <c r="B1" s="22" t="s">
        <v>690</v>
      </c>
      <c r="C1" s="22" t="s">
        <v>691</v>
      </c>
      <c r="D1" s="22" t="s">
        <v>692</v>
      </c>
      <c r="E1" s="22" t="s">
        <v>693</v>
      </c>
      <c r="F1" s="22" t="s">
        <v>694</v>
      </c>
      <c r="G1" s="22" t="s">
        <v>695</v>
      </c>
      <c r="H1" s="22" t="s">
        <v>696</v>
      </c>
      <c r="I1" s="22" t="s">
        <v>697</v>
      </c>
      <c r="J1" s="22" t="s">
        <v>698</v>
      </c>
      <c r="K1" s="22" t="s">
        <v>699</v>
      </c>
    </row>
    <row r="2" spans="1:11" x14ac:dyDescent="0.25">
      <c r="A2" s="23" t="s">
        <v>700</v>
      </c>
      <c r="B2" s="22">
        <v>4</v>
      </c>
      <c r="C2" s="22">
        <v>6</v>
      </c>
      <c r="D2" s="22">
        <v>6</v>
      </c>
      <c r="E2" s="22">
        <v>6</v>
      </c>
      <c r="F2" s="22">
        <v>6</v>
      </c>
      <c r="G2" s="22">
        <v>6</v>
      </c>
      <c r="H2" s="22">
        <v>6</v>
      </c>
      <c r="I2" s="22">
        <v>6</v>
      </c>
      <c r="J2" s="22">
        <v>24</v>
      </c>
      <c r="K2" s="22">
        <v>22</v>
      </c>
    </row>
    <row r="3" spans="1:11" ht="14.4" customHeight="1" x14ac:dyDescent="0.25">
      <c r="A3" s="22" t="s">
        <v>702</v>
      </c>
      <c r="B3" s="22" t="s">
        <v>701</v>
      </c>
      <c r="C3" s="22" t="s">
        <v>701</v>
      </c>
      <c r="D3" s="22" t="s">
        <v>701</v>
      </c>
      <c r="E3" s="22" t="s">
        <v>701</v>
      </c>
      <c r="F3" s="22" t="s">
        <v>701</v>
      </c>
      <c r="G3" s="22" t="s">
        <v>701</v>
      </c>
      <c r="H3" s="22" t="s">
        <v>701</v>
      </c>
      <c r="I3" s="22" t="s">
        <v>701</v>
      </c>
      <c r="J3" s="22" t="s">
        <v>701</v>
      </c>
      <c r="K3" s="22">
        <v>1</v>
      </c>
    </row>
    <row r="4" spans="1:11" x14ac:dyDescent="0.25">
      <c r="A4" s="19"/>
    </row>
    <row r="5" spans="1:11" x14ac:dyDescent="0.25">
      <c r="A5" s="19"/>
    </row>
    <row r="6" spans="1:11" x14ac:dyDescent="0.25">
      <c r="A6" s="19"/>
    </row>
    <row r="7" spans="1:11" x14ac:dyDescent="0.25">
      <c r="A7" s="19"/>
    </row>
    <row r="8" spans="1:11" x14ac:dyDescent="0.25">
      <c r="A8" s="19"/>
    </row>
    <row r="9" spans="1:11" x14ac:dyDescent="0.25">
      <c r="A9" s="19"/>
    </row>
    <row r="10" spans="1:11" x14ac:dyDescent="0.25">
      <c r="A10" s="19"/>
    </row>
    <row r="11" spans="1:11" x14ac:dyDescent="0.25">
      <c r="A11" s="19"/>
    </row>
    <row r="12" spans="1:11" x14ac:dyDescent="0.25">
      <c r="A12" s="19"/>
    </row>
    <row r="13" spans="1:11" x14ac:dyDescent="0.25">
      <c r="A13" s="19"/>
    </row>
    <row r="14" spans="1:11" x14ac:dyDescent="0.25">
      <c r="A14" s="19"/>
    </row>
    <row r="15" spans="1:11" x14ac:dyDescent="0.25">
      <c r="A15" s="19"/>
    </row>
    <row r="16" spans="1:11" x14ac:dyDescent="0.25">
      <c r="A16" s="19"/>
    </row>
    <row r="17" spans="1:11" x14ac:dyDescent="0.25">
      <c r="A17" s="19"/>
    </row>
    <row r="18" spans="1:11" x14ac:dyDescent="0.25">
      <c r="A18" s="19"/>
    </row>
    <row r="19" spans="1:11" x14ac:dyDescent="0.25">
      <c r="A19" s="19"/>
    </row>
    <row r="20" spans="1:11" x14ac:dyDescent="0.25">
      <c r="A20" s="19"/>
    </row>
    <row r="21" spans="1:11" ht="17.399999999999999" x14ac:dyDescent="0.25">
      <c r="A21" s="20"/>
    </row>
    <row r="22" spans="1:11" ht="15.6" x14ac:dyDescent="0.25">
      <c r="A22" s="21"/>
      <c r="B22" s="22" t="s">
        <v>690</v>
      </c>
      <c r="C22" s="22" t="s">
        <v>691</v>
      </c>
      <c r="D22" s="22" t="s">
        <v>692</v>
      </c>
      <c r="E22" s="22" t="s">
        <v>693</v>
      </c>
      <c r="F22" s="22" t="s">
        <v>694</v>
      </c>
      <c r="G22" s="22" t="s">
        <v>695</v>
      </c>
      <c r="H22" s="22" t="s">
        <v>696</v>
      </c>
      <c r="I22" s="22" t="s">
        <v>697</v>
      </c>
      <c r="J22" s="22" t="s">
        <v>698</v>
      </c>
      <c r="K22" s="22" t="s">
        <v>699</v>
      </c>
    </row>
    <row r="23" spans="1:11" x14ac:dyDescent="0.25">
      <c r="A23" s="30" t="s">
        <v>700</v>
      </c>
      <c r="B23" s="22">
        <v>2</v>
      </c>
      <c r="C23" s="22">
        <v>3</v>
      </c>
      <c r="D23" s="22">
        <v>3</v>
      </c>
      <c r="E23" s="22">
        <v>3</v>
      </c>
      <c r="F23" s="22">
        <v>3</v>
      </c>
      <c r="G23" s="22">
        <v>3</v>
      </c>
      <c r="H23" s="22">
        <v>3</v>
      </c>
      <c r="I23" s="22">
        <v>3</v>
      </c>
      <c r="J23" s="22">
        <v>12</v>
      </c>
      <c r="K23" s="22">
        <v>11</v>
      </c>
    </row>
    <row r="24" spans="1:11" x14ac:dyDescent="0.25">
      <c r="A24" s="30"/>
      <c r="B24" s="22" t="s">
        <v>701</v>
      </c>
      <c r="C24" s="22" t="s">
        <v>701</v>
      </c>
      <c r="D24" s="22" t="s">
        <v>701</v>
      </c>
      <c r="E24" s="22" t="s">
        <v>701</v>
      </c>
      <c r="F24" s="22" t="s">
        <v>701</v>
      </c>
      <c r="G24" s="22" t="s">
        <v>701</v>
      </c>
      <c r="H24" s="22" t="s">
        <v>701</v>
      </c>
      <c r="I24" s="22" t="s">
        <v>701</v>
      </c>
      <c r="J24" s="22" t="s">
        <v>701</v>
      </c>
      <c r="K24" s="22" t="s">
        <v>701</v>
      </c>
    </row>
    <row r="25" spans="1:11" ht="14.4" customHeight="1" x14ac:dyDescent="0.25">
      <c r="A25" s="22" t="s">
        <v>702</v>
      </c>
      <c r="B25" s="22" t="s">
        <v>701</v>
      </c>
      <c r="C25" s="22" t="s">
        <v>701</v>
      </c>
      <c r="D25" s="22" t="s">
        <v>701</v>
      </c>
      <c r="E25" s="22" t="s">
        <v>701</v>
      </c>
      <c r="F25" s="22" t="s">
        <v>701</v>
      </c>
      <c r="G25" s="22" t="s">
        <v>701</v>
      </c>
      <c r="H25" s="22" t="s">
        <v>701</v>
      </c>
      <c r="I25" s="22" t="s">
        <v>701</v>
      </c>
      <c r="J25" s="22" t="s">
        <v>701</v>
      </c>
      <c r="K25" s="22">
        <v>1</v>
      </c>
    </row>
  </sheetData>
  <mergeCells count="1">
    <mergeCell ref="A23:A2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1"/>
  <sheetViews>
    <sheetView workbookViewId="0">
      <selection activeCell="B23" sqref="B23"/>
    </sheetView>
  </sheetViews>
  <sheetFormatPr defaultRowHeight="14.4" x14ac:dyDescent="0.25"/>
  <cols>
    <col min="1" max="1" width="14" customWidth="1"/>
    <col min="2" max="2" width="66.88671875" customWidth="1"/>
    <col min="3" max="3" width="16.21875" customWidth="1"/>
  </cols>
  <sheetData>
    <row r="1" spans="1:2" x14ac:dyDescent="0.25">
      <c r="A1" s="17" t="s">
        <v>248</v>
      </c>
      <c r="B1" s="17" t="s">
        <v>703</v>
      </c>
    </row>
    <row r="2" spans="1:2" x14ac:dyDescent="0.25">
      <c r="A2" s="17" t="s">
        <v>20</v>
      </c>
      <c r="B2" s="17" t="s">
        <v>114</v>
      </c>
    </row>
    <row r="3" spans="1:2" x14ac:dyDescent="0.25">
      <c r="A3" s="17" t="s">
        <v>21</v>
      </c>
      <c r="B3" s="17" t="s">
        <v>134</v>
      </c>
    </row>
    <row r="4" spans="1:2" x14ac:dyDescent="0.25">
      <c r="A4" s="17" t="s">
        <v>22</v>
      </c>
      <c r="B4" s="17" t="s">
        <v>211</v>
      </c>
    </row>
    <row r="5" spans="1:2" x14ac:dyDescent="0.25">
      <c r="A5" s="17" t="s">
        <v>23</v>
      </c>
      <c r="B5" s="17" t="s">
        <v>210</v>
      </c>
    </row>
    <row r="6" spans="1:2" x14ac:dyDescent="0.25">
      <c r="A6" s="17" t="s">
        <v>24</v>
      </c>
      <c r="B6" s="17" t="s">
        <v>212</v>
      </c>
    </row>
    <row r="7" spans="1:2" x14ac:dyDescent="0.25">
      <c r="A7" s="17" t="s">
        <v>25</v>
      </c>
      <c r="B7" s="17" t="s">
        <v>138</v>
      </c>
    </row>
    <row r="8" spans="1:2" x14ac:dyDescent="0.25">
      <c r="A8" s="17" t="s">
        <v>26</v>
      </c>
      <c r="B8" s="17" t="s">
        <v>139</v>
      </c>
    </row>
    <row r="9" spans="1:2" x14ac:dyDescent="0.25">
      <c r="A9" s="17" t="s">
        <v>27</v>
      </c>
      <c r="B9" s="17" t="s">
        <v>214</v>
      </c>
    </row>
    <row r="10" spans="1:2" x14ac:dyDescent="0.25">
      <c r="A10" s="17" t="s">
        <v>195</v>
      </c>
      <c r="B10" s="17" t="s">
        <v>213</v>
      </c>
    </row>
    <row r="11" spans="1:2" x14ac:dyDescent="0.25">
      <c r="A11" s="17" t="s">
        <v>197</v>
      </c>
      <c r="B11" s="17" t="s">
        <v>133</v>
      </c>
    </row>
    <row r="12" spans="1:2" x14ac:dyDescent="0.25">
      <c r="A12" s="17" t="s">
        <v>252</v>
      </c>
      <c r="B12" s="17" t="s">
        <v>217</v>
      </c>
    </row>
    <row r="13" spans="1:2" x14ac:dyDescent="0.25">
      <c r="A13" s="17" t="s">
        <v>489</v>
      </c>
      <c r="B13" s="17" t="s">
        <v>218</v>
      </c>
    </row>
    <row r="14" spans="1:2" x14ac:dyDescent="0.25">
      <c r="A14" s="17" t="s">
        <v>490</v>
      </c>
      <c r="B14" s="17" t="s">
        <v>219</v>
      </c>
    </row>
    <row r="15" spans="1:2" x14ac:dyDescent="0.25">
      <c r="A15" s="17" t="s">
        <v>491</v>
      </c>
      <c r="B15" s="17" t="s">
        <v>220</v>
      </c>
    </row>
    <row r="16" spans="1:2" x14ac:dyDescent="0.25">
      <c r="A16" s="17" t="s">
        <v>228</v>
      </c>
      <c r="B16" s="17" t="s">
        <v>221</v>
      </c>
    </row>
    <row r="17" spans="1:2" x14ac:dyDescent="0.25">
      <c r="A17" s="17" t="s">
        <v>39</v>
      </c>
      <c r="B17" s="17" t="s">
        <v>224</v>
      </c>
    </row>
    <row r="18" spans="1:2" x14ac:dyDescent="0.25">
      <c r="A18" s="17" t="s">
        <v>501</v>
      </c>
      <c r="B18" s="17" t="s">
        <v>208</v>
      </c>
    </row>
    <row r="19" spans="1:2" x14ac:dyDescent="0.25">
      <c r="A19" s="17" t="s">
        <v>344</v>
      </c>
      <c r="B19" s="17" t="s">
        <v>209</v>
      </c>
    </row>
    <row r="20" spans="1:2" x14ac:dyDescent="0.25">
      <c r="A20" s="17" t="s">
        <v>274</v>
      </c>
      <c r="B20" s="17" t="s">
        <v>275</v>
      </c>
    </row>
    <row r="21" spans="1:2" x14ac:dyDescent="0.25">
      <c r="A21" s="17" t="s">
        <v>276</v>
      </c>
      <c r="B21" s="17" t="s">
        <v>179</v>
      </c>
    </row>
    <row r="22" spans="1:2" x14ac:dyDescent="0.25">
      <c r="A22" s="17" t="s">
        <v>502</v>
      </c>
      <c r="B22" s="17" t="s">
        <v>277</v>
      </c>
    </row>
    <row r="23" spans="1:2" x14ac:dyDescent="0.25">
      <c r="A23" s="17" t="s">
        <v>482</v>
      </c>
      <c r="B23" s="17" t="s">
        <v>278</v>
      </c>
    </row>
    <row r="24" spans="1:2" x14ac:dyDescent="0.25">
      <c r="A24" s="17" t="s">
        <v>483</v>
      </c>
      <c r="B24" s="17" t="s">
        <v>212</v>
      </c>
    </row>
    <row r="25" spans="1:2" x14ac:dyDescent="0.25">
      <c r="A25" s="17" t="s">
        <v>484</v>
      </c>
      <c r="B25" s="17" t="s">
        <v>305</v>
      </c>
    </row>
    <row r="26" spans="1:2" x14ac:dyDescent="0.25">
      <c r="A26" s="17" t="s">
        <v>485</v>
      </c>
      <c r="B26" s="17" t="s">
        <v>279</v>
      </c>
    </row>
    <row r="27" spans="1:2" x14ac:dyDescent="0.25">
      <c r="A27" s="17" t="s">
        <v>280</v>
      </c>
      <c r="B27" s="17" t="s">
        <v>281</v>
      </c>
    </row>
    <row r="28" spans="1:2" x14ac:dyDescent="0.25">
      <c r="A28" s="17" t="s">
        <v>503</v>
      </c>
      <c r="B28" s="17" t="s">
        <v>282</v>
      </c>
    </row>
    <row r="29" spans="1:2" x14ac:dyDescent="0.25">
      <c r="A29" s="17" t="s">
        <v>250</v>
      </c>
      <c r="B29" s="17" t="s">
        <v>704</v>
      </c>
    </row>
    <row r="30" spans="1:2" x14ac:dyDescent="0.25">
      <c r="A30" s="17" t="s">
        <v>505</v>
      </c>
      <c r="B30" s="17" t="s">
        <v>285</v>
      </c>
    </row>
    <row r="31" spans="1:2" x14ac:dyDescent="0.25">
      <c r="A31" s="17" t="s">
        <v>246</v>
      </c>
      <c r="B31" s="17" t="s">
        <v>215</v>
      </c>
    </row>
    <row r="32" spans="1:2" x14ac:dyDescent="0.25">
      <c r="A32" s="17" t="s">
        <v>251</v>
      </c>
      <c r="B32" s="17" t="s">
        <v>216</v>
      </c>
    </row>
    <row r="33" spans="1:2" x14ac:dyDescent="0.25">
      <c r="A33" s="17" t="s">
        <v>506</v>
      </c>
      <c r="B33" s="17" t="s">
        <v>217</v>
      </c>
    </row>
    <row r="34" spans="1:2" x14ac:dyDescent="0.25">
      <c r="A34" s="17" t="s">
        <v>289</v>
      </c>
      <c r="B34" s="17" t="s">
        <v>247</v>
      </c>
    </row>
    <row r="35" spans="1:2" x14ac:dyDescent="0.25">
      <c r="A35" s="17" t="s">
        <v>290</v>
      </c>
      <c r="B35" s="17" t="s">
        <v>222</v>
      </c>
    </row>
    <row r="36" spans="1:2" x14ac:dyDescent="0.25">
      <c r="A36" s="17" t="s">
        <v>292</v>
      </c>
      <c r="B36" s="17" t="s">
        <v>223</v>
      </c>
    </row>
    <row r="37" spans="1:2" x14ac:dyDescent="0.25">
      <c r="A37" s="17" t="s">
        <v>507</v>
      </c>
      <c r="B37" s="17" t="s">
        <v>294</v>
      </c>
    </row>
    <row r="38" spans="1:2" x14ac:dyDescent="0.25">
      <c r="A38" s="17" t="s">
        <v>295</v>
      </c>
      <c r="B38" s="18" t="s">
        <v>226</v>
      </c>
    </row>
    <row r="39" spans="1:2" x14ac:dyDescent="0.25">
      <c r="A39" s="17" t="s">
        <v>0</v>
      </c>
      <c r="B39" s="17" t="s">
        <v>182</v>
      </c>
    </row>
    <row r="40" spans="1:2" x14ac:dyDescent="0.25">
      <c r="A40" s="17" t="s">
        <v>1</v>
      </c>
      <c r="B40" s="17" t="s">
        <v>191</v>
      </c>
    </row>
    <row r="41" spans="1:2" x14ac:dyDescent="0.25">
      <c r="A41" s="17" t="s">
        <v>2</v>
      </c>
      <c r="B41" s="17" t="s">
        <v>181</v>
      </c>
    </row>
    <row r="42" spans="1:2" x14ac:dyDescent="0.25">
      <c r="A42" s="17" t="s">
        <v>3</v>
      </c>
      <c r="B42" s="17" t="s">
        <v>177</v>
      </c>
    </row>
    <row r="43" spans="1:2" x14ac:dyDescent="0.25">
      <c r="A43" s="17" t="s">
        <v>4</v>
      </c>
      <c r="B43" s="17" t="s">
        <v>184</v>
      </c>
    </row>
    <row r="44" spans="1:2" x14ac:dyDescent="0.25">
      <c r="A44" s="17" t="s">
        <v>5</v>
      </c>
      <c r="B44" s="17" t="s">
        <v>185</v>
      </c>
    </row>
    <row r="45" spans="1:2" x14ac:dyDescent="0.25">
      <c r="A45" s="17" t="s">
        <v>6</v>
      </c>
      <c r="B45" s="17" t="s">
        <v>179</v>
      </c>
    </row>
    <row r="46" spans="1:2" x14ac:dyDescent="0.25">
      <c r="A46" s="17" t="s">
        <v>683</v>
      </c>
      <c r="B46" s="17" t="s">
        <v>190</v>
      </c>
    </row>
    <row r="47" spans="1:2" x14ac:dyDescent="0.25">
      <c r="A47" s="17" t="s">
        <v>681</v>
      </c>
      <c r="B47" s="17" t="s">
        <v>188</v>
      </c>
    </row>
    <row r="48" spans="1:2" x14ac:dyDescent="0.25">
      <c r="A48" s="17" t="s">
        <v>689</v>
      </c>
      <c r="B48" s="17" t="s">
        <v>688</v>
      </c>
    </row>
    <row r="49" spans="1:2" x14ac:dyDescent="0.25">
      <c r="A49" s="17" t="s">
        <v>682</v>
      </c>
      <c r="B49" s="17" t="s">
        <v>189</v>
      </c>
    </row>
    <row r="50" spans="1:2" x14ac:dyDescent="0.25">
      <c r="A50" s="17" t="s">
        <v>105</v>
      </c>
      <c r="B50" s="17" t="s">
        <v>165</v>
      </c>
    </row>
    <row r="51" spans="1:2" x14ac:dyDescent="0.25">
      <c r="A51" s="17" t="s">
        <v>687</v>
      </c>
      <c r="B51" s="17" t="s">
        <v>192</v>
      </c>
    </row>
    <row r="52" spans="1:2" x14ac:dyDescent="0.25">
      <c r="A52" s="17" t="s">
        <v>680</v>
      </c>
      <c r="B52" s="17" t="s">
        <v>161</v>
      </c>
    </row>
    <row r="53" spans="1:2" x14ac:dyDescent="0.25">
      <c r="A53" s="17" t="s">
        <v>11</v>
      </c>
      <c r="B53" s="17" t="s">
        <v>187</v>
      </c>
    </row>
    <row r="54" spans="1:2" x14ac:dyDescent="0.25">
      <c r="A54" s="18" t="s">
        <v>12</v>
      </c>
      <c r="B54" s="17" t="s">
        <v>686</v>
      </c>
    </row>
    <row r="55" spans="1:2" x14ac:dyDescent="0.25">
      <c r="A55" s="17" t="s">
        <v>15</v>
      </c>
      <c r="B55" s="17" t="s">
        <v>183</v>
      </c>
    </row>
    <row r="56" spans="1:2" x14ac:dyDescent="0.25">
      <c r="A56" s="17" t="s">
        <v>684</v>
      </c>
      <c r="B56" s="17" t="s">
        <v>193</v>
      </c>
    </row>
    <row r="57" spans="1:2" x14ac:dyDescent="0.25">
      <c r="A57" s="17" t="s">
        <v>685</v>
      </c>
      <c r="B57" s="17" t="s">
        <v>194</v>
      </c>
    </row>
    <row r="58" spans="1:2" x14ac:dyDescent="0.25">
      <c r="A58" t="s">
        <v>249</v>
      </c>
      <c r="B58" t="s">
        <v>271</v>
      </c>
    </row>
    <row r="59" spans="1:2" x14ac:dyDescent="0.25">
      <c r="A59" t="s">
        <v>43</v>
      </c>
      <c r="B59" t="s">
        <v>132</v>
      </c>
    </row>
    <row r="60" spans="1:2" x14ac:dyDescent="0.25">
      <c r="A60" t="s">
        <v>534</v>
      </c>
      <c r="B60" t="s">
        <v>114</v>
      </c>
    </row>
    <row r="61" spans="1:2" x14ac:dyDescent="0.25">
      <c r="A61" t="s">
        <v>529</v>
      </c>
      <c r="B61" t="s">
        <v>134</v>
      </c>
    </row>
    <row r="62" spans="1:2" x14ac:dyDescent="0.25">
      <c r="A62" t="s">
        <v>530</v>
      </c>
      <c r="B62" t="s">
        <v>135</v>
      </c>
    </row>
    <row r="63" spans="1:2" x14ac:dyDescent="0.25">
      <c r="A63" t="s">
        <v>47</v>
      </c>
      <c r="B63" t="s">
        <v>136</v>
      </c>
    </row>
    <row r="64" spans="1:2" x14ac:dyDescent="0.25">
      <c r="A64" t="s">
        <v>48</v>
      </c>
      <c r="B64" t="s">
        <v>137</v>
      </c>
    </row>
    <row r="65" spans="1:2" x14ac:dyDescent="0.25">
      <c r="A65" t="s">
        <v>531</v>
      </c>
      <c r="B65" t="s">
        <v>138</v>
      </c>
    </row>
    <row r="66" spans="1:2" x14ac:dyDescent="0.25">
      <c r="A66" t="s">
        <v>533</v>
      </c>
      <c r="B66" t="s">
        <v>139</v>
      </c>
    </row>
    <row r="67" spans="1:2" x14ac:dyDescent="0.25">
      <c r="A67" t="s">
        <v>51</v>
      </c>
      <c r="B67" t="s">
        <v>141</v>
      </c>
    </row>
    <row r="68" spans="1:2" x14ac:dyDescent="0.25">
      <c r="A68" s="1" t="s">
        <v>536</v>
      </c>
      <c r="B68" t="s">
        <v>142</v>
      </c>
    </row>
    <row r="69" spans="1:2" x14ac:dyDescent="0.25">
      <c r="A69" t="s">
        <v>535</v>
      </c>
      <c r="B69" t="s">
        <v>148</v>
      </c>
    </row>
    <row r="70" spans="1:2" x14ac:dyDescent="0.25">
      <c r="A70" t="s">
        <v>54</v>
      </c>
      <c r="B70" t="s">
        <v>149</v>
      </c>
    </row>
    <row r="71" spans="1:2" x14ac:dyDescent="0.25">
      <c r="A71" t="s">
        <v>55</v>
      </c>
      <c r="B71" t="s">
        <v>150</v>
      </c>
    </row>
    <row r="72" spans="1:2" x14ac:dyDescent="0.25">
      <c r="A72" t="s">
        <v>343</v>
      </c>
      <c r="B72" t="s">
        <v>208</v>
      </c>
    </row>
    <row r="73" spans="1:2" x14ac:dyDescent="0.25">
      <c r="A73" t="s">
        <v>509</v>
      </c>
      <c r="B73" t="s">
        <v>179</v>
      </c>
    </row>
    <row r="74" spans="1:2" x14ac:dyDescent="0.25">
      <c r="A74" t="s">
        <v>348</v>
      </c>
      <c r="B74" t="s">
        <v>349</v>
      </c>
    </row>
    <row r="75" spans="1:2" x14ac:dyDescent="0.25">
      <c r="A75" t="s">
        <v>517</v>
      </c>
      <c r="B75" t="s">
        <v>353</v>
      </c>
    </row>
    <row r="76" spans="1:2" x14ac:dyDescent="0.25">
      <c r="A76" t="s">
        <v>511</v>
      </c>
      <c r="B76" t="s">
        <v>354</v>
      </c>
    </row>
    <row r="77" spans="1:2" x14ac:dyDescent="0.25">
      <c r="A77" t="s">
        <v>355</v>
      </c>
      <c r="B77" t="s">
        <v>285</v>
      </c>
    </row>
    <row r="78" spans="1:2" x14ac:dyDescent="0.25">
      <c r="A78" t="s">
        <v>357</v>
      </c>
      <c r="B78" t="s">
        <v>213</v>
      </c>
    </row>
    <row r="79" spans="1:2" x14ac:dyDescent="0.25">
      <c r="A79" t="s">
        <v>359</v>
      </c>
      <c r="B79" t="s">
        <v>360</v>
      </c>
    </row>
    <row r="80" spans="1:2" x14ac:dyDescent="0.25">
      <c r="A80" t="s">
        <v>361</v>
      </c>
      <c r="B80" t="s">
        <v>362</v>
      </c>
    </row>
    <row r="81" spans="1:2" x14ac:dyDescent="0.25">
      <c r="A81" t="s">
        <v>520</v>
      </c>
      <c r="B81" t="s">
        <v>367</v>
      </c>
    </row>
    <row r="82" spans="1:2" x14ac:dyDescent="0.25">
      <c r="A82" t="s">
        <v>370</v>
      </c>
      <c r="B82" t="s">
        <v>371</v>
      </c>
    </row>
    <row r="83" spans="1:2" x14ac:dyDescent="0.25">
      <c r="A83" t="s">
        <v>394</v>
      </c>
      <c r="B83" t="s">
        <v>208</v>
      </c>
    </row>
    <row r="84" spans="1:2" x14ac:dyDescent="0.25">
      <c r="A84" t="s">
        <v>399</v>
      </c>
      <c r="B84" t="s">
        <v>179</v>
      </c>
    </row>
    <row r="85" spans="1:2" x14ac:dyDescent="0.25">
      <c r="A85" t="s">
        <v>401</v>
      </c>
      <c r="B85" t="s">
        <v>349</v>
      </c>
    </row>
    <row r="86" spans="1:2" x14ac:dyDescent="0.25">
      <c r="A86" t="s">
        <v>523</v>
      </c>
      <c r="B86" t="s">
        <v>213</v>
      </c>
    </row>
    <row r="87" spans="1:2" x14ac:dyDescent="0.25">
      <c r="A87" t="s">
        <v>407</v>
      </c>
      <c r="B87" t="s">
        <v>360</v>
      </c>
    </row>
    <row r="88" spans="1:2" x14ac:dyDescent="0.25">
      <c r="A88" t="s">
        <v>524</v>
      </c>
      <c r="B88" t="s">
        <v>409</v>
      </c>
    </row>
    <row r="89" spans="1:2" x14ac:dyDescent="0.25">
      <c r="A89" t="s">
        <v>415</v>
      </c>
      <c r="B89" t="s">
        <v>416</v>
      </c>
    </row>
    <row r="90" spans="1:2" x14ac:dyDescent="0.25">
      <c r="A90" t="s">
        <v>417</v>
      </c>
      <c r="B90" t="s">
        <v>418</v>
      </c>
    </row>
    <row r="91" spans="1:2" x14ac:dyDescent="0.25">
      <c r="A91" t="s">
        <v>539</v>
      </c>
      <c r="B91" t="s">
        <v>540</v>
      </c>
    </row>
    <row r="92" spans="1:2" x14ac:dyDescent="0.25">
      <c r="A92" t="s">
        <v>542</v>
      </c>
      <c r="B92" t="s">
        <v>543</v>
      </c>
    </row>
    <row r="93" spans="1:2" x14ac:dyDescent="0.25">
      <c r="A93" t="s">
        <v>544</v>
      </c>
      <c r="B93" t="s">
        <v>545</v>
      </c>
    </row>
    <row r="94" spans="1:2" x14ac:dyDescent="0.25">
      <c r="A94" t="s">
        <v>546</v>
      </c>
      <c r="B94" t="s">
        <v>547</v>
      </c>
    </row>
    <row r="95" spans="1:2" x14ac:dyDescent="0.25">
      <c r="A95" t="s">
        <v>548</v>
      </c>
      <c r="B95" t="s">
        <v>212</v>
      </c>
    </row>
    <row r="96" spans="1:2" x14ac:dyDescent="0.25">
      <c r="A96" t="s">
        <v>549</v>
      </c>
      <c r="B96" t="s">
        <v>550</v>
      </c>
    </row>
    <row r="97" spans="1:2" x14ac:dyDescent="0.25">
      <c r="A97" t="s">
        <v>551</v>
      </c>
      <c r="B97" t="s">
        <v>281</v>
      </c>
    </row>
    <row r="98" spans="1:2" x14ac:dyDescent="0.25">
      <c r="A98" t="s">
        <v>574</v>
      </c>
      <c r="B98" t="s">
        <v>553</v>
      </c>
    </row>
    <row r="99" spans="1:2" x14ac:dyDescent="0.25">
      <c r="A99" t="s">
        <v>554</v>
      </c>
      <c r="B99" t="s">
        <v>555</v>
      </c>
    </row>
    <row r="100" spans="1:2" x14ac:dyDescent="0.25">
      <c r="A100" t="s">
        <v>556</v>
      </c>
      <c r="B100" t="s">
        <v>229</v>
      </c>
    </row>
    <row r="101" spans="1:2" x14ac:dyDescent="0.25">
      <c r="A101" t="s">
        <v>558</v>
      </c>
      <c r="B101" t="s">
        <v>559</v>
      </c>
    </row>
    <row r="102" spans="1:2" x14ac:dyDescent="0.25">
      <c r="A102" t="s">
        <v>560</v>
      </c>
      <c r="B102" t="s">
        <v>562</v>
      </c>
    </row>
    <row r="103" spans="1:2" x14ac:dyDescent="0.25">
      <c r="A103" t="s">
        <v>561</v>
      </c>
      <c r="B103" t="s">
        <v>563</v>
      </c>
    </row>
    <row r="104" spans="1:2" x14ac:dyDescent="0.25">
      <c r="A104" t="s">
        <v>564</v>
      </c>
      <c r="B104" t="s">
        <v>565</v>
      </c>
    </row>
    <row r="105" spans="1:2" x14ac:dyDescent="0.25">
      <c r="A105" t="s">
        <v>566</v>
      </c>
      <c r="B105" t="s">
        <v>567</v>
      </c>
    </row>
    <row r="106" spans="1:2" x14ac:dyDescent="0.25">
      <c r="A106" t="s">
        <v>568</v>
      </c>
      <c r="B106" t="s">
        <v>569</v>
      </c>
    </row>
    <row r="107" spans="1:2" x14ac:dyDescent="0.25">
      <c r="A107" s="10" t="s">
        <v>584</v>
      </c>
      <c r="B107" s="10" t="s">
        <v>593</v>
      </c>
    </row>
    <row r="108" spans="1:2" x14ac:dyDescent="0.25">
      <c r="A108" s="10" t="s">
        <v>582</v>
      </c>
      <c r="B108" s="10" t="s">
        <v>183</v>
      </c>
    </row>
    <row r="109" spans="1:2" x14ac:dyDescent="0.25">
      <c r="A109" s="10" t="s">
        <v>586</v>
      </c>
      <c r="B109" s="10" t="s">
        <v>587</v>
      </c>
    </row>
    <row r="110" spans="1:2" x14ac:dyDescent="0.25">
      <c r="A110" s="10" t="s">
        <v>588</v>
      </c>
      <c r="B110" s="10" t="s">
        <v>589</v>
      </c>
    </row>
    <row r="111" spans="1:2" x14ac:dyDescent="0.25">
      <c r="A111" s="10" t="s">
        <v>590</v>
      </c>
      <c r="B111" s="10" t="s">
        <v>591</v>
      </c>
    </row>
  </sheetData>
  <phoneticPr fontId="1" type="noConversion"/>
  <conditionalFormatting sqref="A1:A1048576">
    <cfRule type="duplicateValues" dxfId="3" priority="2"/>
  </conditionalFormatting>
  <conditionalFormatting sqref="A72:A1048576 A1:A58">
    <cfRule type="duplicateValues" dxfId="2" priority="5"/>
  </conditionalFormatting>
  <conditionalFormatting sqref="B1:B1048576">
    <cfRule type="duplicateValues" dxfId="1" priority="1"/>
  </conditionalFormatting>
  <conditionalFormatting sqref="A59:A71">
    <cfRule type="duplicateValues" dxfId="0" priority="3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ciscoswitch</vt:lpstr>
      <vt:lpstr>HWAR</vt:lpstr>
      <vt:lpstr>Sheet5</vt:lpstr>
      <vt:lpstr>hwce57</vt:lpstr>
      <vt:lpstr>hwfw</vt:lpstr>
      <vt:lpstr>hwce</vt:lpstr>
      <vt:lpstr>hwfm</vt:lpstr>
      <vt:lpstr>h3cfw</vt:lpstr>
      <vt:lpstr>tap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2024-08-06T07:08:40Z</dcterms:modified>
</cp:coreProperties>
</file>